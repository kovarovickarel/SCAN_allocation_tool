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Planning" sheetId="1" r:id="rId5"/>
    <sheet state="visible" name="Expenses Proj Spec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Check input on columns C, E, F, G once FTE is planned.</t>
      </text>
    </comment>
    <comment authorId="0" ref="R18">
      <text>
        <t xml:space="preserve">Select only when planning for  External Resources. 
For Internal Resources, leave this cell blank.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2">
      <text>
        <t xml:space="preserve">Please select the Input currency (not necessary the same as CAA currency)</t>
      </text>
    </comment>
    <comment authorId="0" ref="A13">
      <text>
        <t xml:space="preserve">Check input on columns C, D, E, F once cost is planned.</t>
      </text>
    </comment>
  </commentList>
</comments>
</file>

<file path=xl/sharedStrings.xml><?xml version="1.0" encoding="utf-8"?>
<sst xmlns="http://schemas.openxmlformats.org/spreadsheetml/2006/main" count="487" uniqueCount="97">
  <si>
    <t xml:space="preserve"> </t>
  </si>
  <si>
    <t>P1 GM</t>
  </si>
  <si>
    <t>KICK OFF</t>
  </si>
  <si>
    <t>REQF</t>
  </si>
  <si>
    <t>FFV</t>
  </si>
  <si>
    <t>EFV</t>
  </si>
  <si>
    <t>AFV</t>
  </si>
  <si>
    <t>SSSR</t>
  </si>
  <si>
    <t>SOP</t>
  </si>
  <si>
    <t>NEW
FILL THIS MANDATORY</t>
  </si>
  <si>
    <t>Sum FTE</t>
  </si>
  <si>
    <t>Status</t>
  </si>
  <si>
    <t>FTE ALLOCATION</t>
  </si>
  <si>
    <t>FTE</t>
  </si>
  <si>
    <t>Check input</t>
  </si>
  <si>
    <t>Keywords</t>
  </si>
  <si>
    <t>Product Constellation</t>
  </si>
  <si>
    <t>Main_Pillar</t>
  </si>
  <si>
    <t>Main_Pillar SCAN</t>
  </si>
  <si>
    <t>DEPARTMENT</t>
  </si>
  <si>
    <t>PROJECT</t>
  </si>
  <si>
    <t>PROJECT TO BE CHARGED</t>
  </si>
  <si>
    <t>P1 / P2</t>
  </si>
  <si>
    <t>Workpackage</t>
  </si>
  <si>
    <t>Sub Disciplines Activity (Task)</t>
  </si>
  <si>
    <t>Location_PL/GTC</t>
  </si>
  <si>
    <t>Sub Disciplines</t>
  </si>
  <si>
    <t>Internal/
External</t>
  </si>
  <si>
    <t>HCC/LCC</t>
  </si>
  <si>
    <t>Total Hours</t>
  </si>
  <si>
    <t>External Resource</t>
  </si>
  <si>
    <t>Total Cost in EUR (CAA currency)</t>
  </si>
  <si>
    <t>OK</t>
  </si>
  <si>
    <t>KPI</t>
  </si>
  <si>
    <t>1 Base</t>
  </si>
  <si>
    <t>SystemValidation</t>
  </si>
  <si>
    <t>6 SystemValidation</t>
  </si>
  <si>
    <t>SysVal</t>
  </si>
  <si>
    <t>P1</t>
  </si>
  <si>
    <t>2-SYS2xx</t>
  </si>
  <si>
    <t>NON LiDAR_Cairo</t>
  </si>
  <si>
    <t>SYV-General</t>
  </si>
  <si>
    <t>Internal</t>
  </si>
  <si>
    <t>LCC</t>
  </si>
  <si>
    <t>no</t>
  </si>
  <si>
    <t>0.5</t>
  </si>
  <si>
    <t>Trace checker</t>
  </si>
  <si>
    <t>Data factory TC</t>
  </si>
  <si>
    <t>LIDAR_Bietigheim</t>
  </si>
  <si>
    <t>HCC</t>
  </si>
  <si>
    <t>no FTE planned</t>
  </si>
  <si>
    <t>SiL</t>
  </si>
  <si>
    <t>Reprocessing SIL</t>
  </si>
  <si>
    <t>HIL</t>
  </si>
  <si>
    <t>Reprocessing HIL</t>
  </si>
  <si>
    <t>System Test</t>
  </si>
  <si>
    <t>SYS.5</t>
  </si>
  <si>
    <t>System Integration Test</t>
  </si>
  <si>
    <t>SYS.4</t>
  </si>
  <si>
    <t>Pipeline</t>
  </si>
  <si>
    <t>Data factory Pipeline</t>
  </si>
  <si>
    <t>Visualization</t>
  </si>
  <si>
    <t>Vehicle tooling</t>
  </si>
  <si>
    <t>NON LiDAR_Prague</t>
  </si>
  <si>
    <t>RCC</t>
  </si>
  <si>
    <t>Reprocessing RCC</t>
  </si>
  <si>
    <t>Operations</t>
  </si>
  <si>
    <t>PIL</t>
  </si>
  <si>
    <t>Reprocessing PIL</t>
  </si>
  <si>
    <t>Other</t>
  </si>
  <si>
    <t>no Allocation done</t>
  </si>
  <si>
    <t>P2 BMW</t>
  </si>
  <si>
    <t>P2</t>
  </si>
  <si>
    <t>Project Specific Expenses</t>
  </si>
  <si>
    <t>Input Currency</t>
  </si>
  <si>
    <t>EUR</t>
  </si>
  <si>
    <t>Check Input</t>
  </si>
  <si>
    <t>Location_PL</t>
  </si>
  <si>
    <t>Expenses Type</t>
  </si>
  <si>
    <t>Outsourced Workpackage(yes/no)</t>
  </si>
  <si>
    <t xml:space="preserve"> Deferred payments </t>
  </si>
  <si>
    <t>2-SYSVAL2xx</t>
  </si>
  <si>
    <t>Contracted Workpackage</t>
  </si>
  <si>
    <t>yes</t>
  </si>
  <si>
    <t>YES_6 months</t>
  </si>
  <si>
    <t>KPI - Lane detection KPI</t>
  </si>
  <si>
    <t>1-SYSVAL1xx</t>
  </si>
  <si>
    <t>Lincese</t>
  </si>
  <si>
    <t>NO</t>
  </si>
  <si>
    <t>KPI Analysis License</t>
  </si>
  <si>
    <t>Hardware</t>
  </si>
  <si>
    <t>Data Processing Workstation</t>
  </si>
  <si>
    <t>Server Maintenance Service</t>
  </si>
  <si>
    <t>no Expenses planned</t>
  </si>
  <si>
    <t>4-SYSVAL4xx</t>
  </si>
  <si>
    <t>Travel</t>
  </si>
  <si>
    <t>BMW Travel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</si>
</sst>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.00_);_(* \(#,##0.00\);_(* &quot;-&quot;??_);_(@_)"/>
    <numFmt numFmtId="165" formatCode="_(* #,##0_);_(* \(#,##0\);_(* &quot;-&quot;??_);_(@_)"/>
    <numFmt numFmtId="166" formatCode="mm/yyyy"/>
    <numFmt numFmtId="167" formatCode="_(* #,##0.0_);_(* \(#,##0.0\);_(* &quot;-&quot;??_);_(@_)"/>
    <numFmt numFmtId="168" formatCode="_(* #,##0.0_);_(* \(#,##0.0\);_(* &quot;-&quot;??.0_);_(@_)"/>
    <numFmt numFmtId="169" formatCode="0.0"/>
  </numFmts>
  <fonts count="16">
    <font>
      <sz val="10.0"/>
      <color rgb="FF000000"/>
      <name val="Arial"/>
      <scheme val="minor"/>
    </font>
    <font>
      <sz val="11.0"/>
      <color theme="1"/>
      <name val="Calibri"/>
    </font>
    <font>
      <color rgb="FFA5A5A5"/>
      <name val="Arial"/>
    </font>
    <font>
      <b/>
      <color rgb="FFBF9000"/>
      <name val="Arial"/>
    </font>
    <font>
      <color theme="1"/>
      <name val="Arial"/>
    </font>
    <font>
      <b/>
      <sz val="14.0"/>
      <color rgb="FFFF0000"/>
      <name val="Arial"/>
    </font>
    <font>
      <sz val="11.0"/>
      <color rgb="FFD6DCE4"/>
      <name val="Arial"/>
    </font>
    <font>
      <sz val="14.0"/>
      <color rgb="FFD6DCE4"/>
      <name val="Arial"/>
    </font>
    <font>
      <b/>
      <color theme="1"/>
      <name val="Arial"/>
    </font>
    <font>
      <b/>
      <sz val="13.0"/>
      <color rgb="FFBF9000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sz val="14.0"/>
      <color theme="1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E6CFF2"/>
        <bgColor rgb="FFE6CFF2"/>
      </patternFill>
    </fill>
    <fill>
      <patternFill patternType="solid">
        <fgColor rgb="FFADB9CA"/>
        <bgColor rgb="FFADB9CA"/>
      </patternFill>
    </fill>
    <fill>
      <patternFill patternType="solid">
        <fgColor rgb="FF0000FF"/>
        <bgColor rgb="FF0000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  <fill>
      <patternFill patternType="solid">
        <fgColor rgb="FFFFFF99"/>
        <bgColor rgb="FFFFFF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4C7C3"/>
        <bgColor rgb="FFF4C7C3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2" fontId="3" numFmtId="0" xfId="0" applyAlignment="1" applyFill="1" applyFont="1">
      <alignment horizontal="center" textRotation="9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1" fillId="0" fontId="2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horizontal="right" shrinkToFit="0" wrapText="1"/>
    </xf>
    <xf borderId="0" fillId="0" fontId="8" numFmtId="164" xfId="0" applyAlignment="1" applyFont="1" applyNumberFormat="1">
      <alignment horizontal="center"/>
    </xf>
    <xf borderId="0" fillId="3" fontId="8" numFmtId="164" xfId="0" applyAlignment="1" applyFill="1" applyFont="1" applyNumberFormat="1">
      <alignment horizontal="center" readingOrder="0" vertical="center"/>
    </xf>
    <xf borderId="0" fillId="3" fontId="8" numFmtId="164" xfId="0" applyAlignment="1" applyFill="1" applyFont="1" applyNumberFormat="1">
      <alignment horizontal="center"/>
    </xf>
    <xf borderId="0" fillId="3" fontId="1" numFmtId="164" xfId="0" applyFill="1" applyFont="1" applyNumberFormat="1"/>
    <xf borderId="2" fillId="4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vertical="bottom"/>
    </xf>
    <xf borderId="2" fillId="3" fontId="8" numFmtId="0" xfId="0" applyAlignment="1" applyBorder="1" applyFill="1" applyFont="1">
      <alignment horizontal="center" shrinkToFit="0" wrapText="1"/>
    </xf>
    <xf borderId="2" fillId="3" fontId="1" numFmtId="0" xfId="0" applyBorder="1" applyFill="1" applyFont="1"/>
    <xf borderId="0" fillId="0" fontId="8" numFmtId="0" xfId="0" applyAlignment="1" applyFont="1">
      <alignment horizontal="center"/>
    </xf>
    <xf borderId="0" fillId="0" fontId="1" numFmtId="165" xfId="0" applyAlignment="1" applyFont="1" applyNumberFormat="1">
      <alignment vertical="bottom"/>
    </xf>
    <xf borderId="0" fillId="5" fontId="1" numFmtId="0" xfId="0" applyFill="1" applyFont="1"/>
    <xf borderId="0" fillId="0" fontId="4" numFmtId="0" xfId="0" applyFont="1"/>
    <xf borderId="2" fillId="4" fontId="1" numFmtId="164" xfId="0" applyAlignment="1" applyBorder="1" applyFill="1" applyFont="1" applyNumberFormat="1">
      <alignment vertical="bottom"/>
    </xf>
    <xf borderId="3" fillId="4" fontId="1" numFmtId="164" xfId="0" applyAlignment="1" applyBorder="1" applyFill="1" applyFont="1" applyNumberFormat="1">
      <alignment vertical="bottom"/>
    </xf>
    <xf borderId="0" fillId="0" fontId="4" numFmtId="0" xfId="0" applyAlignment="1" applyFont="1">
      <alignment horizontal="center"/>
    </xf>
    <xf borderId="0" fillId="5" fontId="9" numFmtId="0" xfId="0" applyAlignment="1" applyFill="1" applyFont="1">
      <alignment horizontal="center"/>
    </xf>
    <xf borderId="2" fillId="4" fontId="1" numFmtId="0" xfId="0" applyBorder="1" applyFill="1" applyFont="1"/>
    <xf borderId="0" fillId="0" fontId="8" numFmtId="164" xfId="0" applyAlignment="1" applyFont="1" applyNumberFormat="1">
      <alignment horizontal="right" readingOrder="0" shrinkToFit="0" wrapText="1"/>
    </xf>
    <xf borderId="0" fillId="0" fontId="4" numFmtId="164" xfId="0" applyFont="1" applyNumberFormat="1"/>
    <xf borderId="0" fillId="0" fontId="4" numFmtId="0" xfId="0" applyAlignment="1" applyFont="1">
      <alignment shrinkToFit="0" vertical="bottom" wrapText="1"/>
    </xf>
    <xf borderId="0" fillId="0" fontId="8" numFmtId="164" xfId="0" applyAlignment="1" applyFont="1" applyNumberFormat="1">
      <alignment horizontal="right"/>
    </xf>
    <xf borderId="2" fillId="6" fontId="1" numFmtId="0" xfId="0" applyBorder="1" applyFill="1" applyFont="1"/>
    <xf borderId="2" fillId="6" fontId="10" numFmtId="0" xfId="0" applyAlignment="1" applyBorder="1" applyFill="1" applyFont="1">
      <alignment horizontal="center"/>
    </xf>
    <xf borderId="4" fillId="6" fontId="1" numFmtId="0" xfId="0" applyBorder="1" applyFill="1" applyFont="1"/>
    <xf borderId="0" fillId="0" fontId="10" numFmtId="0" xfId="0" applyAlignment="1" applyFont="1">
      <alignment horizontal="center"/>
    </xf>
    <xf borderId="2" fillId="7" fontId="10" numFmtId="0" xfId="0" applyAlignment="1" applyBorder="1" applyFill="1" applyFont="1">
      <alignment horizontal="center" shrinkToFit="0" vertical="bottom" wrapText="0"/>
    </xf>
    <xf borderId="2" fillId="7" fontId="10" numFmtId="0" xfId="0" applyAlignment="1" applyBorder="1" applyFill="1" applyFont="1">
      <alignment horizontal="center" readingOrder="0" shrinkToFit="0" vertical="bottom" wrapText="0"/>
    </xf>
    <xf borderId="2" fillId="7" fontId="10" numFmtId="0" xfId="0" applyAlignment="1" applyBorder="1" applyFill="1" applyFont="1">
      <alignment horizontal="center" shrinkToFit="0" vertical="bottom" wrapText="1"/>
    </xf>
    <xf borderId="2" fillId="7" fontId="10" numFmtId="0" xfId="0" applyAlignment="1" applyBorder="1" applyFill="1" applyFont="1">
      <alignment horizontal="center" readingOrder="0" shrinkToFit="0" vertical="bottom" wrapText="1"/>
    </xf>
    <xf borderId="2" fillId="7" fontId="10" numFmtId="0" xfId="0" applyAlignment="1" applyBorder="1" applyFill="1" applyFont="1">
      <alignment horizontal="center" shrinkToFit="0" wrapText="1"/>
    </xf>
    <xf borderId="5" fillId="7" fontId="10" numFmtId="0" xfId="0" applyAlignment="1" applyBorder="1" applyFill="1" applyFont="1">
      <alignment horizontal="center" shrinkToFit="0" wrapText="1"/>
    </xf>
    <xf borderId="6" fillId="7" fontId="10" numFmtId="0" xfId="0" applyAlignment="1" applyBorder="1" applyFill="1" applyFont="1">
      <alignment horizontal="center" shrinkToFit="0" wrapText="1"/>
    </xf>
    <xf borderId="5" fillId="8" fontId="10" numFmtId="166" xfId="0" applyAlignment="1" applyBorder="1" applyFill="1" applyFont="1" applyNumberFormat="1">
      <alignment horizontal="center" shrinkToFit="0" wrapText="1"/>
    </xf>
    <xf borderId="5" fillId="7" fontId="10" numFmtId="166" xfId="0" applyAlignment="1" applyBorder="1" applyFill="1" applyFont="1" applyNumberFormat="1">
      <alignment horizontal="center" shrinkToFit="0" wrapText="1"/>
    </xf>
    <xf borderId="5" fillId="9" fontId="10" numFmtId="166" xfId="0" applyAlignment="1" applyBorder="1" applyFill="1" applyFont="1" applyNumberFormat="1">
      <alignment horizontal="center" shrinkToFit="0" wrapText="1"/>
    </xf>
    <xf borderId="5" fillId="10" fontId="10" numFmtId="166" xfId="0" applyAlignment="1" applyBorder="1" applyFill="1" applyFont="1" applyNumberFormat="1">
      <alignment horizontal="center" shrinkToFit="0" wrapText="1"/>
    </xf>
    <xf borderId="0" fillId="11" fontId="4" numFmtId="0" xfId="0" applyAlignment="1" applyFill="1" applyFont="1">
      <alignment horizontal="center" vertical="bottom"/>
    </xf>
    <xf borderId="2" fillId="12" fontId="4" numFmtId="0" xfId="0" applyAlignment="1" applyBorder="1" applyFill="1" applyFont="1">
      <alignment readingOrder="0" shrinkToFit="0" vertical="center" wrapText="1"/>
    </xf>
    <xf borderId="2" fillId="12" fontId="4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readingOrder="0" vertical="center"/>
    </xf>
    <xf borderId="2" fillId="12" fontId="4" numFmtId="0" xfId="0" applyAlignment="1" applyBorder="1" applyFill="1" applyFont="1">
      <alignment shrinkToFit="0" vertical="bottom" wrapText="1"/>
    </xf>
    <xf borderId="7" fillId="12" fontId="1" numFmtId="0" xfId="0" applyAlignment="1" applyBorder="1" applyFill="1" applyFont="1">
      <alignment readingOrder="0" shrinkToFit="0" wrapText="1"/>
    </xf>
    <xf borderId="2" fillId="12" fontId="4" numFmtId="0" xfId="0" applyAlignment="1" applyBorder="1" applyFill="1" applyFont="1">
      <alignment vertical="bottom"/>
    </xf>
    <xf borderId="2" fillId="12" fontId="11" numFmtId="164" xfId="0" applyAlignment="1" applyBorder="1" applyFill="1" applyFont="1" applyNumberFormat="1">
      <alignment horizontal="center" vertical="bottom"/>
    </xf>
    <xf borderId="8" fillId="0" fontId="4" numFmtId="0" xfId="0" applyAlignment="1" applyBorder="1" applyFont="1">
      <alignment horizontal="center" vertical="bottom"/>
    </xf>
    <xf borderId="8" fillId="0" fontId="4" numFmtId="167" xfId="0" applyAlignment="1" applyBorder="1" applyFont="1" applyNumberFormat="1">
      <alignment horizontal="center" readingOrder="0" vertical="bottom"/>
    </xf>
    <xf borderId="2" fillId="12" fontId="12" numFmtId="0" xfId="0" applyAlignment="1" applyBorder="1" applyFill="1" applyFont="1">
      <alignment shrinkToFit="0" vertical="top" wrapText="1"/>
    </xf>
    <xf borderId="2" fillId="12" fontId="12" numFmtId="165" xfId="0" applyAlignment="1" applyBorder="1" applyFill="1" applyFont="1" applyNumberFormat="1">
      <alignment horizontal="right" vertical="bottom"/>
    </xf>
    <xf borderId="2" fillId="12" fontId="12" numFmtId="165" xfId="0" applyAlignment="1" applyBorder="1" applyFill="1" applyFont="1" applyNumberFormat="1">
      <alignment horizontal="right" readingOrder="0" vertical="bottom"/>
    </xf>
    <xf borderId="2" fillId="12" fontId="12" numFmtId="168" xfId="0" applyAlignment="1" applyBorder="1" applyFill="1" applyFont="1" applyNumberFormat="1">
      <alignment horizontal="right" readingOrder="0" vertical="bottom"/>
    </xf>
    <xf borderId="7" fillId="12" fontId="1" numFmtId="0" xfId="0" applyAlignment="1" applyBorder="1" applyFill="1" applyFont="1">
      <alignment shrinkToFit="0" vertical="bottom" wrapText="1"/>
    </xf>
    <xf borderId="0" fillId="13" fontId="13" numFmtId="0" xfId="0" applyAlignment="1" applyFill="1" applyFont="1">
      <alignment horizontal="center" readingOrder="0"/>
    </xf>
    <xf borderId="8" fillId="0" fontId="4" numFmtId="167" xfId="0" applyAlignment="1" applyBorder="1" applyFont="1" applyNumberFormat="1">
      <alignment horizontal="center" vertical="bottom"/>
    </xf>
    <xf borderId="2" fillId="12" fontId="1" numFmtId="0" xfId="0" applyAlignment="1" applyBorder="1" applyFill="1" applyFont="1">
      <alignment readingOrder="0" vertical="bottom"/>
    </xf>
    <xf borderId="7" fillId="12" fontId="1" numFmtId="0" xfId="0" applyAlignment="1" applyBorder="1" applyFill="1" applyFont="1">
      <alignment readingOrder="0" shrinkToFit="0" vertical="bottom" wrapText="1"/>
    </xf>
    <xf borderId="3" fillId="12" fontId="11" numFmtId="164" xfId="0" applyAlignment="1" applyBorder="1" applyFill="1" applyFont="1" applyNumberFormat="1">
      <alignment horizontal="center" vertical="bottom"/>
    </xf>
    <xf borderId="2" fillId="0" fontId="4" numFmtId="167" xfId="0" applyAlignment="1" applyBorder="1" applyFont="1" applyNumberFormat="1">
      <alignment horizontal="center" vertical="bottom"/>
    </xf>
    <xf borderId="2" fillId="12" fontId="12" numFmtId="0" xfId="0" applyAlignment="1" applyBorder="1" applyFill="1" applyFont="1">
      <alignment horizontal="right" readingOrder="0" vertical="bottom"/>
    </xf>
    <xf borderId="8" fillId="0" fontId="12" numFmtId="0" xfId="0" applyAlignment="1" applyBorder="1" applyFont="1">
      <alignment horizontal="center" vertical="bottom"/>
    </xf>
    <xf borderId="8" fillId="0" fontId="12" numFmtId="167" xfId="0" applyAlignment="1" applyBorder="1" applyFont="1" applyNumberFormat="1">
      <alignment horizontal="center" vertical="bottom"/>
    </xf>
    <xf borderId="0" fillId="14" fontId="4" numFmtId="0" xfId="0" applyAlignment="1" applyFill="1" applyFont="1">
      <alignment horizontal="center" readingOrder="0" vertical="bottom"/>
    </xf>
    <xf borderId="9" fillId="12" fontId="12" numFmtId="165" xfId="0" applyAlignment="1" applyBorder="1" applyFill="1" applyFont="1" applyNumberFormat="1">
      <alignment horizontal="right" vertical="bottom"/>
    </xf>
    <xf borderId="9" fillId="12" fontId="12" numFmtId="165" xfId="0" applyAlignment="1" applyBorder="1" applyFill="1" applyFont="1" applyNumberFormat="1">
      <alignment horizontal="right" readingOrder="0" vertical="bottom"/>
    </xf>
    <xf borderId="0" fillId="0" fontId="4" numFmtId="4" xfId="0" applyFont="1" applyNumberFormat="1"/>
    <xf borderId="10" fillId="0" fontId="1" numFmtId="164" xfId="0" applyAlignment="1" applyBorder="1" applyFont="1" applyNumberFormat="1">
      <alignment vertical="bottom"/>
    </xf>
    <xf borderId="10" fillId="0" fontId="11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11" numFmtId="164" xfId="0" applyAlignment="1" applyFont="1" applyNumberFormat="1">
      <alignment horizontal="center" vertical="bottom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169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2" fillId="6" fontId="1" numFmtId="0" xfId="0" applyAlignment="1" applyBorder="1" applyFill="1" applyFont="1">
      <alignment vertical="bottom"/>
    </xf>
    <xf borderId="2" fillId="6" fontId="14" numFmtId="0" xfId="0" applyAlignment="1" applyBorder="1" applyFill="1" applyFont="1">
      <alignment vertical="bottom"/>
    </xf>
    <xf borderId="8" fillId="6" fontId="14" numFmtId="0" xfId="0" applyAlignment="1" applyBorder="1" applyFill="1" applyFont="1">
      <alignment horizontal="center" vertical="bottom"/>
    </xf>
    <xf borderId="3" fillId="0" fontId="15" numFmtId="0" xfId="0" applyBorder="1" applyFont="1"/>
    <xf borderId="8" fillId="10" fontId="14" numFmtId="0" xfId="0" applyAlignment="1" applyBorder="1" applyFill="1" applyFont="1">
      <alignment horizontal="center" vertical="bottom"/>
    </xf>
    <xf borderId="11" fillId="6" fontId="10" numFmtId="0" xfId="0" applyBorder="1" applyFill="1" applyFont="1"/>
    <xf borderId="9" fillId="6" fontId="10" numFmtId="0" xfId="0" applyBorder="1" applyFill="1" applyFont="1"/>
    <xf borderId="0" fillId="0" fontId="10" numFmtId="0" xfId="0" applyAlignment="1" applyFont="1">
      <alignment horizontal="center" shrinkToFit="0" wrapText="1"/>
    </xf>
    <xf borderId="2" fillId="7" fontId="8" numFmtId="0" xfId="0" applyAlignment="1" applyBorder="1" applyFill="1" applyFont="1">
      <alignment horizontal="center" shrinkToFit="0" wrapText="1"/>
    </xf>
    <xf borderId="8" fillId="7" fontId="8" numFmtId="0" xfId="0" applyAlignment="1" applyBorder="1" applyFill="1" applyFont="1">
      <alignment horizontal="center" shrinkToFit="0" wrapText="1"/>
    </xf>
    <xf borderId="12" fillId="7" fontId="10" numFmtId="0" xfId="0" applyAlignment="1" applyBorder="1" applyFill="1" applyFont="1">
      <alignment horizontal="center" shrinkToFit="0" wrapText="1"/>
    </xf>
    <xf borderId="2" fillId="15" fontId="10" numFmtId="166" xfId="0" applyAlignment="1" applyBorder="1" applyFill="1" applyFont="1" applyNumberFormat="1">
      <alignment horizontal="center" shrinkToFit="0" wrapText="1"/>
    </xf>
    <xf borderId="2" fillId="7" fontId="10" numFmtId="166" xfId="0" applyAlignment="1" applyBorder="1" applyFill="1" applyFont="1" applyNumberFormat="1">
      <alignment horizontal="center" shrinkToFit="0" wrapText="1"/>
    </xf>
    <xf borderId="2" fillId="9" fontId="10" numFmtId="166" xfId="0" applyAlignment="1" applyBorder="1" applyFill="1" applyFont="1" applyNumberFormat="1">
      <alignment horizontal="center" shrinkToFit="0" wrapText="1"/>
    </xf>
    <xf borderId="2" fillId="10" fontId="10" numFmtId="166" xfId="0" applyAlignment="1" applyBorder="1" applyFill="1" applyFont="1" applyNumberFormat="1">
      <alignment horizontal="center" shrinkToFit="0" wrapText="1"/>
    </xf>
    <xf borderId="4" fillId="0" fontId="12" numFmtId="0" xfId="0" applyAlignment="1" applyBorder="1" applyFont="1">
      <alignment vertical="bottom"/>
    </xf>
    <xf borderId="2" fillId="12" fontId="12" numFmtId="0" xfId="0" applyAlignment="1" applyBorder="1" applyFill="1" applyFont="1">
      <alignment shrinkToFit="0" vertical="bottom" wrapText="1"/>
    </xf>
    <xf borderId="2" fillId="12" fontId="12" numFmtId="0" xfId="0" applyAlignment="1" applyBorder="1" applyFill="1" applyFont="1">
      <alignment vertical="bottom"/>
    </xf>
    <xf borderId="2" fillId="12" fontId="12" numFmtId="0" xfId="0" applyAlignment="1" applyBorder="1" applyFill="1" applyFont="1">
      <alignment readingOrder="0" vertical="center"/>
    </xf>
    <xf borderId="2" fillId="12" fontId="1" numFmtId="0" xfId="0" applyAlignment="1" applyBorder="1" applyFill="1" applyFont="1">
      <alignment vertical="top"/>
    </xf>
    <xf borderId="0" fillId="12" fontId="12" numFmtId="0" xfId="0" applyAlignment="1" applyFill="1" applyFont="1">
      <alignment horizontal="left" readingOrder="0" vertical="bottom"/>
    </xf>
    <xf borderId="2" fillId="0" fontId="4" numFmtId="164" xfId="0" applyAlignment="1" applyBorder="1" applyFont="1" applyNumberFormat="1">
      <alignment shrinkToFit="0" vertical="top" wrapText="1"/>
    </xf>
    <xf borderId="2" fillId="12" fontId="1" numFmtId="164" xfId="0" applyAlignment="1" applyBorder="1" applyFill="1" applyFont="1" applyNumberFormat="1">
      <alignment vertical="top"/>
    </xf>
    <xf borderId="2" fillId="12" fontId="1" numFmtId="164" xfId="0" applyAlignment="1" applyBorder="1" applyFill="1" applyFont="1" applyNumberFormat="1">
      <alignment readingOrder="0" vertical="top"/>
    </xf>
    <xf borderId="2" fillId="12" fontId="1" numFmtId="0" xfId="0" applyAlignment="1" applyBorder="1" applyFill="1" applyFont="1">
      <alignment vertical="bottom"/>
    </xf>
    <xf borderId="2" fillId="12" fontId="1" numFmtId="164" xfId="0" applyAlignment="1" applyBorder="1" applyFill="1" applyFont="1" applyNumberFormat="1">
      <alignment horizontal="right" vertical="top"/>
    </xf>
    <xf borderId="2" fillId="12" fontId="1" numFmtId="0" xfId="0" applyBorder="1" applyFill="1" applyFont="1"/>
    <xf borderId="2" fillId="12" fontId="12" numFmtId="0" xfId="0" applyAlignment="1" applyBorder="1" applyFill="1" applyFont="1">
      <alignment horizontal="left" readingOrder="0" shrinkToFit="0" vertical="bottom" wrapText="1"/>
    </xf>
    <xf borderId="2" fillId="12" fontId="12" numFmtId="0" xfId="0" applyAlignment="1" applyBorder="1" applyFill="1" applyFont="1">
      <alignment readingOrder="0" shrinkToFit="0" vertical="top" wrapText="1"/>
    </xf>
    <xf borderId="0" fillId="13" fontId="13" numFmtId="0" xfId="0" applyAlignment="1" applyFill="1" applyFont="1">
      <alignment horizontal="center"/>
    </xf>
    <xf borderId="9" fillId="12" fontId="12" numFmtId="0" xfId="0" applyAlignment="1" applyBorder="1" applyFill="1" applyFont="1">
      <alignment horizontal="left" readingOrder="0" shrinkToFit="0" vertical="bottom" wrapText="1"/>
    </xf>
    <xf borderId="9" fillId="12" fontId="1" numFmtId="164" xfId="0" applyAlignment="1" applyBorder="1" applyFill="1" applyFont="1" applyNumberFormat="1">
      <alignment vertical="top"/>
    </xf>
    <xf borderId="9" fillId="12" fontId="1" numFmtId="0" xfId="0" applyAlignment="1" applyBorder="1" applyFill="1" applyFont="1">
      <alignment vertical="bottom"/>
    </xf>
    <xf borderId="9" fillId="12" fontId="1" numFmtId="0" xfId="0" applyBorder="1" applyFill="1" applyFont="1"/>
    <xf borderId="10" fillId="0" fontId="12" numFmtId="0" xfId="0" applyAlignment="1" applyBorder="1" applyFont="1">
      <alignment horizontal="center" shrinkToFit="0" vertical="top" wrapText="1"/>
    </xf>
    <xf borderId="10" fillId="0" fontId="4" numFmtId="164" xfId="0" applyAlignment="1" applyBorder="1" applyFont="1" applyNumberFormat="1">
      <alignment shrinkToFit="0" vertical="top" wrapText="1"/>
    </xf>
    <xf borderId="10" fillId="0" fontId="1" numFmtId="164" xfId="0" applyAlignment="1" applyBorder="1" applyFont="1" applyNumberFormat="1">
      <alignment vertical="top"/>
    </xf>
    <xf borderId="10" fillId="0" fontId="1" numFmtId="0" xfId="0" applyAlignment="1" applyBorder="1" applyFont="1">
      <alignment vertical="bottom"/>
    </xf>
    <xf borderId="10" fillId="0" fontId="1" numFmtId="164" xfId="0" applyAlignment="1" applyBorder="1" applyFont="1" applyNumberFormat="1">
      <alignment horizontal="right" vertical="top"/>
    </xf>
    <xf borderId="10" fillId="0" fontId="1" numFmtId="0" xfId="0" applyBorder="1" applyFont="1"/>
    <xf borderId="0" fillId="0" fontId="12" numFmtId="0" xfId="0" applyAlignment="1" applyFont="1">
      <alignment horizontal="center"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1" numFmtId="164" xfId="0" applyAlignment="1" applyFont="1" applyNumberFormat="1">
      <alignment vertical="top"/>
    </xf>
    <xf borderId="0" fillId="0" fontId="1" numFmtId="164" xfId="0" applyAlignment="1" applyFont="1" applyNumberFormat="1">
      <alignment horizontal="right" vertical="top"/>
    </xf>
    <xf borderId="0" fillId="0" fontId="12" numFmtId="164" xfId="0" applyAlignment="1" applyFont="1" applyNumberFormat="1">
      <alignment horizontal="right" vertical="top"/>
    </xf>
    <xf borderId="0" fillId="0" fontId="4" numFmtId="0" xfId="0" applyAlignment="1" applyFont="1">
      <alignment horizontal="center" shrinkToFit="0" vertical="top" wrapText="1"/>
    </xf>
    <xf borderId="0" fillId="0" fontId="4" numFmtId="164" xfId="0" applyAlignment="1" applyFont="1" applyNumberFormat="1">
      <alignment vertical="top"/>
    </xf>
    <xf borderId="0" fillId="0" fontId="4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19.0" ySplit="18.0" topLeftCell="T19" activePane="bottomRight" state="frozen"/>
      <selection activeCell="T1" sqref="T1" pane="topRight"/>
      <selection activeCell="A19" sqref="A19" pane="bottomLeft"/>
      <selection activeCell="T19" sqref="T19" pane="bottomRight"/>
    </sheetView>
  </sheetViews>
  <sheetFormatPr customHeight="1" defaultColWidth="12.63" defaultRowHeight="15.0" outlineLevelCol="1"/>
  <cols>
    <col customWidth="1" min="1" max="1" width="3.75"/>
    <col customWidth="1" min="2" max="2" width="15.25"/>
    <col customWidth="1" min="3" max="3" width="23.75" outlineLevel="1"/>
    <col customWidth="1" min="4" max="6" width="26.75" outlineLevel="2"/>
    <col customWidth="1" min="7" max="7" width="14.88" outlineLevel="1"/>
    <col customWidth="1" min="8" max="8" width="14.5" outlineLevel="1"/>
    <col customWidth="1" min="9" max="9" width="15.5"/>
    <col collapsed="1" min="10" max="10" width="12.63"/>
    <col customWidth="1" hidden="1" min="11" max="11" width="15.88" outlineLevel="1"/>
    <col customWidth="1" hidden="1" min="12" max="12" width="20.25" outlineLevel="1"/>
    <col customWidth="1" hidden="1" min="13" max="13" width="20.75" outlineLevel="1"/>
    <col customWidth="1" min="14" max="14" width="15.0"/>
    <col customWidth="1" min="15" max="18" width="12.63" outlineLevel="1"/>
  </cols>
  <sheetData>
    <row r="1" ht="15.75" customHeight="1" outlineLevel="1">
      <c r="A1" s="1"/>
      <c r="B1" s="1"/>
      <c r="C1" s="2"/>
      <c r="D1" s="2"/>
      <c r="E1" s="2"/>
      <c r="F1" s="2"/>
      <c r="G1" s="3" t="s">
        <v>0</v>
      </c>
      <c r="H1" s="2"/>
      <c r="I1" s="2"/>
      <c r="J1" s="5"/>
      <c r="K1" s="2"/>
      <c r="L1" s="2"/>
      <c r="M1" s="4"/>
      <c r="N1" s="4"/>
      <c r="O1" s="2"/>
      <c r="P1" s="2"/>
      <c r="Q1" s="2"/>
      <c r="R1" s="2"/>
      <c r="S1" s="2"/>
      <c r="T1" s="3">
        <v>8.0</v>
      </c>
      <c r="U1" s="3">
        <v>9.0</v>
      </c>
      <c r="V1" s="3">
        <v>10.0</v>
      </c>
      <c r="W1" s="3">
        <v>11.0</v>
      </c>
      <c r="X1" s="3">
        <v>12.0</v>
      </c>
      <c r="Y1" s="3">
        <v>1.0</v>
      </c>
      <c r="Z1" s="3">
        <v>2.0</v>
      </c>
      <c r="AA1" s="3">
        <v>3.0</v>
      </c>
      <c r="AB1" s="3">
        <v>4.0</v>
      </c>
      <c r="AC1" s="3">
        <v>5.0</v>
      </c>
      <c r="AD1" s="3">
        <v>6.0</v>
      </c>
      <c r="AE1" s="3">
        <v>7.0</v>
      </c>
      <c r="AF1" s="3">
        <v>8.0</v>
      </c>
      <c r="AG1" s="3">
        <v>9.0</v>
      </c>
      <c r="AH1" s="3">
        <v>10.0</v>
      </c>
      <c r="AI1" s="3">
        <v>11.0</v>
      </c>
      <c r="AJ1" s="3">
        <v>12.0</v>
      </c>
      <c r="AK1" s="3">
        <v>1.0</v>
      </c>
      <c r="AL1" s="3">
        <v>2.0</v>
      </c>
      <c r="AM1" s="3">
        <v>3.0</v>
      </c>
      <c r="AN1" s="3">
        <v>4.0</v>
      </c>
      <c r="AO1" s="3">
        <v>5.0</v>
      </c>
      <c r="AP1" s="3">
        <v>6.0</v>
      </c>
      <c r="AQ1" s="3">
        <v>7.0</v>
      </c>
      <c r="AR1" s="3">
        <v>8.0</v>
      </c>
      <c r="AS1" s="3">
        <v>9.0</v>
      </c>
      <c r="AT1" s="3">
        <v>10.0</v>
      </c>
      <c r="AU1" s="3">
        <v>11.0</v>
      </c>
      <c r="AV1" s="3">
        <v>12.0</v>
      </c>
      <c r="AW1" s="3">
        <v>1.0</v>
      </c>
      <c r="AX1" s="3">
        <v>2.0</v>
      </c>
      <c r="AY1" s="3">
        <v>3.0</v>
      </c>
      <c r="AZ1" s="3">
        <v>4.0</v>
      </c>
      <c r="BA1" s="3">
        <v>5.0</v>
      </c>
      <c r="BB1" s="3">
        <v>6.0</v>
      </c>
      <c r="BC1" s="3">
        <v>7.0</v>
      </c>
      <c r="BD1" s="3">
        <v>8.0</v>
      </c>
      <c r="BE1" s="3">
        <v>9.0</v>
      </c>
      <c r="BF1" s="3">
        <v>10.0</v>
      </c>
      <c r="BG1" s="3">
        <v>11.0</v>
      </c>
      <c r="BH1" s="3">
        <v>12.0</v>
      </c>
      <c r="BI1" s="3">
        <v>1.0</v>
      </c>
      <c r="BJ1" s="3">
        <v>2.0</v>
      </c>
      <c r="BK1" s="3">
        <v>3.0</v>
      </c>
      <c r="BL1" s="3">
        <v>4.0</v>
      </c>
      <c r="BM1" s="3">
        <v>5.0</v>
      </c>
      <c r="BN1" s="3">
        <v>6.0</v>
      </c>
      <c r="BO1" s="3">
        <v>7.0</v>
      </c>
      <c r="BP1" s="3">
        <v>8.0</v>
      </c>
      <c r="BQ1" s="3">
        <v>9.0</v>
      </c>
      <c r="BR1" s="3">
        <v>10.0</v>
      </c>
      <c r="BS1" s="3">
        <v>11.0</v>
      </c>
      <c r="BT1" s="8">
        <v>12.0</v>
      </c>
    </row>
    <row r="2" ht="15.75" customHeight="1" outlineLevel="1">
      <c r="A2" s="1"/>
      <c r="B2" s="1"/>
      <c r="C2" s="2"/>
      <c r="D2" s="2"/>
      <c r="E2" s="2"/>
      <c r="F2" s="1"/>
      <c r="G2" s="1"/>
      <c r="H2" s="2"/>
      <c r="I2" s="2"/>
      <c r="K2" s="10"/>
      <c r="P2" s="2"/>
      <c r="Q2" s="2"/>
      <c r="R2" s="2"/>
      <c r="S2" s="11"/>
      <c r="T2" s="9">
        <v>2025.0</v>
      </c>
      <c r="U2" s="9">
        <v>2025.0</v>
      </c>
      <c r="V2" s="9">
        <v>2025.0</v>
      </c>
      <c r="W2" s="9">
        <v>2025.0</v>
      </c>
      <c r="X2" s="9">
        <v>2025.0</v>
      </c>
      <c r="Y2" s="9">
        <v>2026.0</v>
      </c>
      <c r="Z2" s="9">
        <v>2026.0</v>
      </c>
      <c r="AA2" s="9">
        <v>2026.0</v>
      </c>
      <c r="AB2" s="9">
        <v>2026.0</v>
      </c>
      <c r="AC2" s="9">
        <v>2026.0</v>
      </c>
      <c r="AD2" s="9">
        <v>2026.0</v>
      </c>
      <c r="AE2" s="9">
        <v>2026.0</v>
      </c>
      <c r="AF2" s="9">
        <v>2026.0</v>
      </c>
      <c r="AG2" s="9">
        <v>2026.0</v>
      </c>
      <c r="AH2" s="9">
        <v>2026.0</v>
      </c>
      <c r="AI2" s="9">
        <v>2026.0</v>
      </c>
      <c r="AJ2" s="9">
        <v>2026.0</v>
      </c>
      <c r="AK2" s="9">
        <v>2027.0</v>
      </c>
      <c r="AL2" s="9">
        <v>2027.0</v>
      </c>
      <c r="AM2" s="9">
        <v>2027.0</v>
      </c>
      <c r="AN2" s="9">
        <v>2027.0</v>
      </c>
      <c r="AO2" s="9">
        <v>2027.0</v>
      </c>
      <c r="AP2" s="9">
        <v>2027.0</v>
      </c>
      <c r="AQ2" s="9">
        <v>2027.0</v>
      </c>
      <c r="AR2" s="9">
        <v>2027.0</v>
      </c>
      <c r="AS2" s="9">
        <v>2027.0</v>
      </c>
      <c r="AT2" s="9">
        <v>2027.0</v>
      </c>
      <c r="AU2" s="9">
        <v>2027.0</v>
      </c>
      <c r="AV2" s="9">
        <v>2027.0</v>
      </c>
      <c r="AW2" s="9">
        <v>2028.0</v>
      </c>
      <c r="AX2" s="9">
        <v>2028.0</v>
      </c>
      <c r="AY2" s="9">
        <v>2028.0</v>
      </c>
      <c r="AZ2" s="9">
        <v>2028.0</v>
      </c>
      <c r="BA2" s="9">
        <v>2028.0</v>
      </c>
      <c r="BB2" s="9">
        <v>2028.0</v>
      </c>
      <c r="BC2" s="9">
        <v>2028.0</v>
      </c>
      <c r="BD2" s="9">
        <v>2028.0</v>
      </c>
      <c r="BE2" s="9">
        <v>2028.0</v>
      </c>
      <c r="BF2" s="9">
        <v>2028.0</v>
      </c>
      <c r="BG2" s="9">
        <v>2028.0</v>
      </c>
      <c r="BH2" s="9">
        <v>2028.0</v>
      </c>
      <c r="BI2" s="9">
        <v>2029.0</v>
      </c>
      <c r="BJ2" s="9">
        <v>2029.0</v>
      </c>
      <c r="BK2" s="9">
        <v>2029.0</v>
      </c>
      <c r="BL2" s="9">
        <v>2029.0</v>
      </c>
      <c r="BM2" s="9">
        <v>2029.0</v>
      </c>
      <c r="BN2" s="9">
        <v>2029.0</v>
      </c>
      <c r="BO2" s="9">
        <v>2029.0</v>
      </c>
      <c r="BP2" s="9">
        <v>2029.0</v>
      </c>
      <c r="BQ2" s="9">
        <v>2029.0</v>
      </c>
      <c r="BR2" s="9">
        <v>2029.0</v>
      </c>
      <c r="BS2" s="9">
        <v>2029.0</v>
      </c>
      <c r="BT2" s="9">
        <v>2029.0</v>
      </c>
    </row>
    <row r="3" ht="15.75" customHeight="1" outlineLevel="1">
      <c r="A3" s="1"/>
      <c r="B3" s="1"/>
      <c r="C3" s="2"/>
      <c r="D3" s="2"/>
      <c r="E3" s="2"/>
      <c r="F3" s="2"/>
      <c r="G3" s="2"/>
      <c r="H3" s="2"/>
      <c r="I3" s="13" t="s">
        <v>1</v>
      </c>
      <c r="K3" s="2"/>
      <c r="L3" s="2"/>
      <c r="M3" s="2"/>
      <c r="N3" s="13" t="s">
        <v>1</v>
      </c>
      <c r="O3" s="15"/>
      <c r="P3" s="15"/>
      <c r="Q3" s="15"/>
      <c r="R3" s="15"/>
      <c r="S3" s="15"/>
      <c r="T3" s="16" t="str">
        <f>+'Resource Planning'!W3</f>
        <v/>
      </c>
      <c r="U3" s="17"/>
      <c r="V3" s="17" t="str">
        <f>+'Resource Planning'!Y3</f>
        <v/>
      </c>
      <c r="W3" s="17" t="str">
        <f>+'Resource Planning'!Z3</f>
        <v/>
      </c>
      <c r="X3" s="18" t="s">
        <v>2</v>
      </c>
      <c r="Y3" s="19"/>
      <c r="Z3" s="19"/>
      <c r="AA3" s="19"/>
      <c r="AB3" s="18" t="s">
        <v>3</v>
      </c>
      <c r="AC3" s="19"/>
      <c r="AD3" s="18"/>
      <c r="AE3" s="19"/>
      <c r="AF3" s="19"/>
      <c r="AG3" s="18"/>
      <c r="AH3" s="19"/>
      <c r="AI3" s="18"/>
      <c r="AJ3" s="19"/>
      <c r="AK3" s="18"/>
      <c r="AL3" s="19"/>
      <c r="AM3" s="19"/>
      <c r="AN3" s="18"/>
      <c r="AO3" s="18"/>
      <c r="AP3" s="18" t="s">
        <v>4</v>
      </c>
      <c r="AQ3" s="19"/>
      <c r="AR3" s="18" t="s">
        <v>5</v>
      </c>
      <c r="AS3" s="19"/>
      <c r="AT3" s="19"/>
      <c r="AU3" s="18"/>
      <c r="AV3" s="18" t="s">
        <v>6</v>
      </c>
      <c r="AW3" s="18"/>
      <c r="AX3" s="19"/>
      <c r="AY3" s="19"/>
      <c r="AZ3" s="19"/>
      <c r="BA3" s="19"/>
      <c r="BB3" s="18"/>
      <c r="BC3" s="18"/>
      <c r="BD3" s="18"/>
      <c r="BE3" s="18" t="s">
        <v>7</v>
      </c>
      <c r="BF3" s="19"/>
      <c r="BG3" s="19"/>
      <c r="BH3" s="19"/>
      <c r="BI3" s="19"/>
      <c r="BJ3" s="18"/>
      <c r="BK3" s="18"/>
      <c r="BL3" s="19"/>
      <c r="BM3" s="19"/>
      <c r="BN3" s="19"/>
      <c r="BO3" s="18" t="s">
        <v>8</v>
      </c>
      <c r="BP3" s="17"/>
      <c r="BQ3" s="17"/>
      <c r="BR3" s="17"/>
      <c r="BS3" s="17"/>
      <c r="BT3" s="17"/>
    </row>
    <row r="4" ht="15.75" customHeight="1" outlineLevel="1">
      <c r="A4" s="2"/>
      <c r="B4" s="2"/>
      <c r="C4" s="2"/>
      <c r="D4" s="2"/>
      <c r="E4" s="2"/>
      <c r="F4" s="2"/>
      <c r="G4" s="2"/>
      <c r="H4" s="2"/>
      <c r="I4" s="20"/>
      <c r="K4" s="2"/>
      <c r="L4" s="2"/>
      <c r="M4" s="2"/>
      <c r="N4" s="20"/>
      <c r="O4" s="4"/>
      <c r="P4" s="4"/>
      <c r="Q4" s="4"/>
      <c r="R4" s="4"/>
      <c r="S4" s="2"/>
      <c r="T4" s="16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ht="15.75" customHeight="1" outlineLevel="1">
      <c r="A5" s="2"/>
      <c r="B5" s="2"/>
      <c r="C5" s="2"/>
      <c r="D5" s="2"/>
      <c r="E5" s="2"/>
      <c r="F5" s="2"/>
      <c r="G5" s="2"/>
      <c r="H5" s="2"/>
      <c r="I5" s="20"/>
      <c r="K5" s="2"/>
      <c r="L5" s="2"/>
      <c r="M5" s="2"/>
      <c r="N5" s="20"/>
      <c r="O5" s="4"/>
      <c r="P5" s="4"/>
      <c r="Q5" s="4"/>
      <c r="R5" s="4"/>
      <c r="S5" s="2"/>
      <c r="T5" s="16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</row>
    <row r="6" ht="15.75" customHeight="1" outlineLevel="1">
      <c r="A6" s="21"/>
      <c r="B6" s="21"/>
      <c r="C6" s="2"/>
      <c r="D6" s="2"/>
      <c r="E6" s="2"/>
      <c r="F6" s="2"/>
      <c r="G6" s="2"/>
      <c r="H6" s="2"/>
      <c r="I6" s="20"/>
      <c r="K6" s="2"/>
      <c r="L6" s="1"/>
      <c r="M6" s="2"/>
      <c r="N6" s="20"/>
      <c r="O6" s="4"/>
      <c r="P6" s="4"/>
      <c r="Q6" s="4"/>
      <c r="R6" s="4"/>
      <c r="S6" s="4"/>
      <c r="T6" s="16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</row>
    <row r="7" ht="15.75" customHeight="1" outlineLevel="1">
      <c r="A7" s="2"/>
      <c r="B7" s="2"/>
      <c r="C7" s="2"/>
      <c r="D7" s="2"/>
      <c r="E7" s="2"/>
      <c r="F7" s="2"/>
      <c r="G7" s="22"/>
      <c r="H7" s="22"/>
      <c r="I7" s="22"/>
      <c r="K7" s="2"/>
      <c r="L7" s="1"/>
      <c r="M7" s="2"/>
      <c r="N7" s="23"/>
      <c r="O7" s="4"/>
      <c r="P7" s="4"/>
      <c r="Q7" s="4"/>
      <c r="R7" s="4"/>
      <c r="S7" s="4"/>
      <c r="T7" s="24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</row>
    <row r="8" ht="15.75" customHeight="1" outlineLevel="1">
      <c r="A8" s="2"/>
      <c r="B8" s="2"/>
      <c r="C8" s="2"/>
      <c r="D8" s="2"/>
      <c r="E8" s="2"/>
      <c r="F8" s="2"/>
      <c r="G8" s="22"/>
      <c r="H8" s="22"/>
      <c r="I8" s="22"/>
      <c r="K8" s="2"/>
      <c r="L8" s="1"/>
      <c r="M8" s="2"/>
      <c r="N8" s="26"/>
      <c r="O8" s="4"/>
      <c r="P8" s="4"/>
      <c r="Q8" s="4"/>
      <c r="R8" s="4"/>
      <c r="S8" s="4"/>
      <c r="T8" s="16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</row>
    <row r="9" ht="15.75" customHeight="1" outlineLevel="1">
      <c r="A9" s="2"/>
      <c r="B9" s="2"/>
      <c r="C9" s="2"/>
      <c r="D9" s="2"/>
      <c r="E9" s="2"/>
      <c r="F9" s="2"/>
      <c r="G9" s="22"/>
      <c r="H9" s="22"/>
      <c r="I9" s="22"/>
      <c r="K9" s="2"/>
      <c r="L9" s="1"/>
      <c r="M9" s="2"/>
      <c r="N9" s="26"/>
      <c r="O9" s="4"/>
      <c r="P9" s="4"/>
      <c r="Q9" s="4"/>
      <c r="R9" s="4"/>
      <c r="S9" s="4"/>
      <c r="T9" s="16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</row>
    <row r="10" ht="15.75" customHeight="1" outlineLevel="1">
      <c r="A10" s="2"/>
      <c r="B10" s="2"/>
      <c r="C10" s="2"/>
      <c r="D10" s="2"/>
      <c r="E10" s="2"/>
      <c r="F10" s="2"/>
      <c r="G10" s="22"/>
      <c r="H10" s="22"/>
      <c r="I10" s="22"/>
      <c r="K10" s="2"/>
      <c r="L10" s="1"/>
      <c r="M10" s="2"/>
      <c r="N10" s="26"/>
      <c r="O10" s="4"/>
      <c r="P10" s="4"/>
      <c r="Q10" s="4"/>
      <c r="R10" s="4"/>
      <c r="S10" s="4"/>
      <c r="T10" s="16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</row>
    <row r="11" ht="15.75" customHeight="1" outlineLevel="1">
      <c r="A11" s="2"/>
      <c r="B11" s="2"/>
      <c r="C11" s="2"/>
      <c r="D11" s="2"/>
      <c r="E11" s="2"/>
      <c r="F11" s="2"/>
      <c r="G11" s="22"/>
      <c r="H11" s="22"/>
      <c r="I11" s="22"/>
      <c r="K11" s="2"/>
      <c r="L11" s="1"/>
      <c r="M11" s="2"/>
      <c r="N11" s="26"/>
      <c r="O11" s="4"/>
      <c r="P11" s="4"/>
      <c r="Q11" s="4"/>
      <c r="R11" s="4"/>
      <c r="S11" s="4"/>
      <c r="T11" s="24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</row>
    <row r="12" ht="15.75" customHeight="1" outlineLevel="1">
      <c r="A12" s="2"/>
      <c r="B12" s="2"/>
      <c r="C12" s="2"/>
      <c r="D12" s="2"/>
      <c r="E12" s="2"/>
      <c r="F12" s="2"/>
      <c r="G12" s="22"/>
      <c r="H12" s="22"/>
      <c r="I12" s="22"/>
      <c r="K12" s="2"/>
      <c r="L12" s="1"/>
      <c r="M12" s="2"/>
      <c r="N12" s="26"/>
      <c r="O12" s="4"/>
      <c r="P12" s="4"/>
      <c r="Q12" s="4"/>
      <c r="R12" s="4"/>
      <c r="S12" s="4"/>
      <c r="T12" s="24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</row>
    <row r="13" ht="15.75" customHeight="1" outlineLevel="1">
      <c r="A13" s="2"/>
      <c r="B13" s="2"/>
      <c r="C13" s="2"/>
      <c r="D13" s="2"/>
      <c r="E13" s="2"/>
      <c r="F13" s="2"/>
      <c r="G13" s="22"/>
      <c r="H13" s="22"/>
      <c r="I13" s="22"/>
      <c r="K13" s="2"/>
      <c r="L13" s="1"/>
      <c r="M13" s="2"/>
      <c r="N13" s="4"/>
      <c r="O13" s="2"/>
      <c r="P13" s="4"/>
      <c r="Q13" s="4"/>
      <c r="R13" s="4"/>
      <c r="T13" s="16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</row>
    <row r="14" ht="15.75" customHeight="1" outlineLevel="1">
      <c r="A14" s="2"/>
      <c r="B14" s="2"/>
      <c r="C14" s="2"/>
      <c r="D14" s="2"/>
      <c r="E14" s="2"/>
      <c r="F14" s="2"/>
      <c r="G14" s="27" t="s">
        <v>9</v>
      </c>
      <c r="K14" s="2"/>
      <c r="L14" s="1"/>
      <c r="M14" s="1"/>
      <c r="N14" s="4"/>
      <c r="O14" s="2"/>
      <c r="P14" s="4"/>
      <c r="Q14" s="4"/>
      <c r="R14" s="4"/>
      <c r="S14" s="4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</row>
    <row r="15" ht="15.75" customHeight="1" outlineLevel="1">
      <c r="A15" s="2"/>
      <c r="B15" s="2"/>
      <c r="C15" s="2"/>
      <c r="D15" s="2"/>
      <c r="E15" s="2"/>
      <c r="F15" s="2"/>
      <c r="K15" s="2"/>
      <c r="L15" s="1"/>
      <c r="M15" s="4"/>
      <c r="N15" s="4"/>
      <c r="O15" s="4"/>
      <c r="P15" s="4"/>
      <c r="Q15" s="4"/>
      <c r="R15" s="4"/>
      <c r="S15" s="29" t="s">
        <v>10</v>
      </c>
      <c r="T15" s="30">
        <f t="shared" ref="T15:BT15" si="1">SUM(T19:T34)</f>
        <v>0</v>
      </c>
      <c r="U15" s="30">
        <f t="shared" si="1"/>
        <v>0</v>
      </c>
      <c r="V15" s="30">
        <f t="shared" si="1"/>
        <v>0</v>
      </c>
      <c r="W15" s="30">
        <f t="shared" si="1"/>
        <v>0</v>
      </c>
      <c r="X15" s="30">
        <f t="shared" si="1"/>
        <v>0</v>
      </c>
      <c r="Y15" s="30">
        <f t="shared" si="1"/>
        <v>0</v>
      </c>
      <c r="Z15" s="30">
        <f t="shared" si="1"/>
        <v>0</v>
      </c>
      <c r="AA15" s="30">
        <f t="shared" si="1"/>
        <v>0</v>
      </c>
      <c r="AB15" s="30">
        <f t="shared" si="1"/>
        <v>0</v>
      </c>
      <c r="AC15" s="30">
        <f t="shared" si="1"/>
        <v>0</v>
      </c>
      <c r="AD15" s="30">
        <f t="shared" si="1"/>
        <v>0</v>
      </c>
      <c r="AE15" s="30">
        <f t="shared" si="1"/>
        <v>0</v>
      </c>
      <c r="AF15" s="30">
        <f t="shared" si="1"/>
        <v>0</v>
      </c>
      <c r="AG15" s="30">
        <f t="shared" si="1"/>
        <v>0</v>
      </c>
      <c r="AH15" s="30">
        <f t="shared" si="1"/>
        <v>0</v>
      </c>
      <c r="AI15" s="30">
        <f t="shared" si="1"/>
        <v>0</v>
      </c>
      <c r="AJ15" s="30">
        <f t="shared" si="1"/>
        <v>0</v>
      </c>
      <c r="AK15" s="30">
        <f t="shared" si="1"/>
        <v>0</v>
      </c>
      <c r="AL15" s="30">
        <f t="shared" si="1"/>
        <v>0</v>
      </c>
      <c r="AM15" s="30">
        <f t="shared" si="1"/>
        <v>0</v>
      </c>
      <c r="AN15" s="30">
        <f t="shared" si="1"/>
        <v>0</v>
      </c>
      <c r="AO15" s="30">
        <f t="shared" si="1"/>
        <v>0</v>
      </c>
      <c r="AP15" s="30">
        <f t="shared" si="1"/>
        <v>0</v>
      </c>
      <c r="AQ15" s="30">
        <f t="shared" si="1"/>
        <v>0</v>
      </c>
      <c r="AR15" s="30">
        <f t="shared" si="1"/>
        <v>3</v>
      </c>
      <c r="AS15" s="30">
        <f t="shared" si="1"/>
        <v>3</v>
      </c>
      <c r="AT15" s="30">
        <f t="shared" si="1"/>
        <v>3</v>
      </c>
      <c r="AU15" s="30">
        <f t="shared" si="1"/>
        <v>3.5</v>
      </c>
      <c r="AV15" s="30">
        <f t="shared" si="1"/>
        <v>2.5</v>
      </c>
      <c r="AW15" s="30">
        <f t="shared" si="1"/>
        <v>4</v>
      </c>
      <c r="AX15" s="30">
        <f t="shared" si="1"/>
        <v>2.5</v>
      </c>
      <c r="AY15" s="30">
        <f t="shared" si="1"/>
        <v>1</v>
      </c>
      <c r="AZ15" s="30">
        <f t="shared" si="1"/>
        <v>0</v>
      </c>
      <c r="BA15" s="30">
        <f t="shared" si="1"/>
        <v>0</v>
      </c>
      <c r="BB15" s="30">
        <f t="shared" si="1"/>
        <v>0</v>
      </c>
      <c r="BC15" s="30">
        <f t="shared" si="1"/>
        <v>0</v>
      </c>
      <c r="BD15" s="30">
        <f t="shared" si="1"/>
        <v>0</v>
      </c>
      <c r="BE15" s="30">
        <f t="shared" si="1"/>
        <v>0</v>
      </c>
      <c r="BF15" s="30">
        <f t="shared" si="1"/>
        <v>0</v>
      </c>
      <c r="BG15" s="30">
        <f t="shared" si="1"/>
        <v>0</v>
      </c>
      <c r="BH15" s="30">
        <f t="shared" si="1"/>
        <v>0</v>
      </c>
      <c r="BI15" s="30">
        <f t="shared" si="1"/>
        <v>0</v>
      </c>
      <c r="BJ15" s="30">
        <f t="shared" si="1"/>
        <v>0</v>
      </c>
      <c r="BK15" s="30">
        <f t="shared" si="1"/>
        <v>0</v>
      </c>
      <c r="BL15" s="30">
        <f t="shared" si="1"/>
        <v>0</v>
      </c>
      <c r="BM15" s="30">
        <f t="shared" si="1"/>
        <v>0</v>
      </c>
      <c r="BN15" s="30">
        <f t="shared" si="1"/>
        <v>0</v>
      </c>
      <c r="BO15" s="30">
        <f t="shared" si="1"/>
        <v>0</v>
      </c>
      <c r="BP15" s="30">
        <f t="shared" si="1"/>
        <v>0</v>
      </c>
      <c r="BQ15" s="30">
        <f t="shared" si="1"/>
        <v>0</v>
      </c>
      <c r="BR15" s="30">
        <f t="shared" si="1"/>
        <v>0</v>
      </c>
      <c r="BS15" s="30">
        <f t="shared" si="1"/>
        <v>0</v>
      </c>
      <c r="BT15" s="30">
        <f t="shared" si="1"/>
        <v>0</v>
      </c>
    </row>
    <row r="16" ht="17.25" customHeight="1" outlineLevel="1">
      <c r="A16" s="2"/>
      <c r="B16" s="2"/>
      <c r="C16" s="2"/>
      <c r="D16" s="2"/>
      <c r="E16" s="2"/>
      <c r="F16" s="2"/>
      <c r="K16" s="2"/>
      <c r="L16" s="2"/>
      <c r="M16" s="4"/>
      <c r="N16" s="4"/>
      <c r="O16" s="4"/>
      <c r="P16" s="32" t="s">
        <v>11</v>
      </c>
      <c r="Q16" s="32">
        <f>SUM(Q19:Q34)</f>
        <v>7250</v>
      </c>
      <c r="R16" s="4"/>
      <c r="S16" s="32">
        <f>SUM(S19:S34)</f>
        <v>64000</v>
      </c>
    </row>
    <row r="17" ht="15.75" customHeight="1">
      <c r="A17" s="2"/>
      <c r="B17" s="2"/>
      <c r="C17" s="33"/>
      <c r="D17" s="33"/>
      <c r="E17" s="34" t="s">
        <v>12</v>
      </c>
      <c r="F17" s="33"/>
      <c r="G17" s="33"/>
      <c r="H17" s="33"/>
      <c r="I17" s="33"/>
      <c r="J17" s="35"/>
      <c r="K17" s="33"/>
      <c r="L17" s="33"/>
      <c r="M17" s="33"/>
      <c r="N17" s="33"/>
      <c r="O17" s="33"/>
      <c r="P17" s="33"/>
      <c r="Q17" s="33"/>
      <c r="R17" s="33"/>
      <c r="S17" s="33"/>
      <c r="T17" s="34" t="s">
        <v>13</v>
      </c>
      <c r="U17" s="34" t="s">
        <v>13</v>
      </c>
      <c r="V17" s="34" t="s">
        <v>13</v>
      </c>
      <c r="W17" s="34" t="s">
        <v>13</v>
      </c>
      <c r="X17" s="34" t="s">
        <v>13</v>
      </c>
      <c r="Y17" s="34" t="s">
        <v>13</v>
      </c>
      <c r="Z17" s="34" t="s">
        <v>13</v>
      </c>
      <c r="AA17" s="34" t="s">
        <v>13</v>
      </c>
      <c r="AB17" s="34" t="s">
        <v>13</v>
      </c>
      <c r="AC17" s="34" t="s">
        <v>13</v>
      </c>
      <c r="AD17" s="34" t="s">
        <v>13</v>
      </c>
      <c r="AE17" s="34" t="s">
        <v>13</v>
      </c>
      <c r="AF17" s="34" t="s">
        <v>13</v>
      </c>
      <c r="AG17" s="34" t="s">
        <v>13</v>
      </c>
      <c r="AH17" s="34" t="s">
        <v>13</v>
      </c>
      <c r="AI17" s="34" t="s">
        <v>13</v>
      </c>
      <c r="AJ17" s="34" t="s">
        <v>13</v>
      </c>
      <c r="AK17" s="34" t="s">
        <v>13</v>
      </c>
      <c r="AL17" s="34" t="s">
        <v>13</v>
      </c>
      <c r="AM17" s="34" t="s">
        <v>13</v>
      </c>
      <c r="AN17" s="34" t="s">
        <v>13</v>
      </c>
      <c r="AO17" s="34" t="s">
        <v>13</v>
      </c>
      <c r="AP17" s="34" t="s">
        <v>13</v>
      </c>
      <c r="AQ17" s="34" t="s">
        <v>13</v>
      </c>
      <c r="AR17" s="34" t="s">
        <v>13</v>
      </c>
      <c r="AS17" s="34" t="s">
        <v>13</v>
      </c>
      <c r="AT17" s="34" t="s">
        <v>13</v>
      </c>
      <c r="AU17" s="34" t="s">
        <v>13</v>
      </c>
      <c r="AV17" s="34" t="s">
        <v>13</v>
      </c>
      <c r="AW17" s="34" t="s">
        <v>13</v>
      </c>
      <c r="AX17" s="34" t="s">
        <v>13</v>
      </c>
      <c r="AY17" s="34" t="s">
        <v>13</v>
      </c>
      <c r="AZ17" s="34" t="s">
        <v>13</v>
      </c>
      <c r="BA17" s="34" t="s">
        <v>13</v>
      </c>
      <c r="BB17" s="34" t="s">
        <v>13</v>
      </c>
      <c r="BC17" s="34" t="s">
        <v>13</v>
      </c>
      <c r="BD17" s="34" t="s">
        <v>13</v>
      </c>
      <c r="BE17" s="34" t="s">
        <v>13</v>
      </c>
      <c r="BF17" s="34" t="s">
        <v>13</v>
      </c>
      <c r="BG17" s="34" t="s">
        <v>13</v>
      </c>
      <c r="BH17" s="34" t="s">
        <v>13</v>
      </c>
      <c r="BI17" s="34" t="s">
        <v>13</v>
      </c>
      <c r="BJ17" s="34" t="s">
        <v>13</v>
      </c>
      <c r="BK17" s="34" t="s">
        <v>13</v>
      </c>
      <c r="BL17" s="34" t="s">
        <v>13</v>
      </c>
      <c r="BM17" s="34" t="s">
        <v>13</v>
      </c>
      <c r="BN17" s="34" t="s">
        <v>13</v>
      </c>
      <c r="BO17" s="34" t="s">
        <v>13</v>
      </c>
      <c r="BP17" s="34" t="s">
        <v>13</v>
      </c>
      <c r="BQ17" s="34" t="s">
        <v>13</v>
      </c>
      <c r="BR17" s="34" t="s">
        <v>13</v>
      </c>
      <c r="BS17" s="34" t="s">
        <v>13</v>
      </c>
      <c r="BT17" s="34" t="s">
        <v>13</v>
      </c>
    </row>
    <row r="18" ht="15.75" customHeight="1">
      <c r="A18" s="2"/>
      <c r="B18" s="36" t="s">
        <v>14</v>
      </c>
      <c r="C18" s="37" t="s">
        <v>15</v>
      </c>
      <c r="D18" s="38" t="s">
        <v>16</v>
      </c>
      <c r="E18" s="39" t="s">
        <v>17</v>
      </c>
      <c r="F18" s="40" t="s">
        <v>18</v>
      </c>
      <c r="G18" s="39" t="s">
        <v>19</v>
      </c>
      <c r="H18" s="39" t="s">
        <v>20</v>
      </c>
      <c r="I18" s="39" t="s">
        <v>21</v>
      </c>
      <c r="J18" s="39" t="s">
        <v>22</v>
      </c>
      <c r="K18" s="41" t="s">
        <v>23</v>
      </c>
      <c r="L18" s="41" t="s">
        <v>24</v>
      </c>
      <c r="M18" s="42" t="s">
        <v>25</v>
      </c>
      <c r="N18" s="42" t="s">
        <v>26</v>
      </c>
      <c r="O18" s="42" t="s">
        <v>27</v>
      </c>
      <c r="P18" s="43" t="s">
        <v>28</v>
      </c>
      <c r="Q18" s="43" t="s">
        <v>29</v>
      </c>
      <c r="R18" s="42" t="s">
        <v>30</v>
      </c>
      <c r="S18" s="43" t="s">
        <v>31</v>
      </c>
      <c r="T18" s="44">
        <f t="shared" ref="T18:BN18" si="2">DATE(T2,T1,1)</f>
        <v>45870</v>
      </c>
      <c r="U18" s="44">
        <f t="shared" si="2"/>
        <v>45901</v>
      </c>
      <c r="V18" s="44">
        <f t="shared" si="2"/>
        <v>45931</v>
      </c>
      <c r="W18" s="44">
        <f t="shared" si="2"/>
        <v>45962</v>
      </c>
      <c r="X18" s="44">
        <f t="shared" si="2"/>
        <v>45992</v>
      </c>
      <c r="Y18" s="44">
        <f t="shared" si="2"/>
        <v>46023</v>
      </c>
      <c r="Z18" s="44">
        <f t="shared" si="2"/>
        <v>46054</v>
      </c>
      <c r="AA18" s="44">
        <f t="shared" si="2"/>
        <v>46082</v>
      </c>
      <c r="AB18" s="44">
        <f t="shared" si="2"/>
        <v>46113</v>
      </c>
      <c r="AC18" s="44">
        <f t="shared" si="2"/>
        <v>46143</v>
      </c>
      <c r="AD18" s="44">
        <f t="shared" si="2"/>
        <v>46174</v>
      </c>
      <c r="AE18" s="44">
        <f t="shared" si="2"/>
        <v>46204</v>
      </c>
      <c r="AF18" s="44">
        <f t="shared" si="2"/>
        <v>46235</v>
      </c>
      <c r="AG18" s="44">
        <f t="shared" si="2"/>
        <v>46266</v>
      </c>
      <c r="AH18" s="44">
        <f t="shared" si="2"/>
        <v>46296</v>
      </c>
      <c r="AI18" s="44">
        <f t="shared" si="2"/>
        <v>46327</v>
      </c>
      <c r="AJ18" s="44">
        <f t="shared" si="2"/>
        <v>46357</v>
      </c>
      <c r="AK18" s="45">
        <f t="shared" si="2"/>
        <v>46388</v>
      </c>
      <c r="AL18" s="45">
        <f t="shared" si="2"/>
        <v>46419</v>
      </c>
      <c r="AM18" s="45">
        <f t="shared" si="2"/>
        <v>46447</v>
      </c>
      <c r="AN18" s="45">
        <f t="shared" si="2"/>
        <v>46478</v>
      </c>
      <c r="AO18" s="45">
        <f t="shared" si="2"/>
        <v>46508</v>
      </c>
      <c r="AP18" s="45">
        <f t="shared" si="2"/>
        <v>46539</v>
      </c>
      <c r="AQ18" s="45">
        <f t="shared" si="2"/>
        <v>46569</v>
      </c>
      <c r="AR18" s="45">
        <f t="shared" si="2"/>
        <v>46600</v>
      </c>
      <c r="AS18" s="45">
        <f t="shared" si="2"/>
        <v>46631</v>
      </c>
      <c r="AT18" s="45">
        <f t="shared" si="2"/>
        <v>46661</v>
      </c>
      <c r="AU18" s="45">
        <f t="shared" si="2"/>
        <v>46692</v>
      </c>
      <c r="AV18" s="45">
        <f t="shared" si="2"/>
        <v>46722</v>
      </c>
      <c r="AW18" s="46">
        <f t="shared" si="2"/>
        <v>46753</v>
      </c>
      <c r="AX18" s="46">
        <f t="shared" si="2"/>
        <v>46784</v>
      </c>
      <c r="AY18" s="46">
        <f t="shared" si="2"/>
        <v>46813</v>
      </c>
      <c r="AZ18" s="46">
        <f t="shared" si="2"/>
        <v>46844</v>
      </c>
      <c r="BA18" s="46">
        <f t="shared" si="2"/>
        <v>46874</v>
      </c>
      <c r="BB18" s="46">
        <f t="shared" si="2"/>
        <v>46905</v>
      </c>
      <c r="BC18" s="46">
        <f t="shared" si="2"/>
        <v>46935</v>
      </c>
      <c r="BD18" s="46">
        <f t="shared" si="2"/>
        <v>46966</v>
      </c>
      <c r="BE18" s="46">
        <f t="shared" si="2"/>
        <v>46997</v>
      </c>
      <c r="BF18" s="46">
        <f t="shared" si="2"/>
        <v>47027</v>
      </c>
      <c r="BG18" s="46">
        <f t="shared" si="2"/>
        <v>47058</v>
      </c>
      <c r="BH18" s="46">
        <f t="shared" si="2"/>
        <v>47088</v>
      </c>
      <c r="BI18" s="47">
        <f t="shared" si="2"/>
        <v>47119</v>
      </c>
      <c r="BJ18" s="47">
        <f t="shared" si="2"/>
        <v>47150</v>
      </c>
      <c r="BK18" s="47">
        <f t="shared" si="2"/>
        <v>47178</v>
      </c>
      <c r="BL18" s="47">
        <f t="shared" si="2"/>
        <v>47209</v>
      </c>
      <c r="BM18" s="47">
        <f t="shared" si="2"/>
        <v>47239</v>
      </c>
      <c r="BN18" s="47">
        <f t="shared" si="2"/>
        <v>47270</v>
      </c>
      <c r="BO18" s="47">
        <v>47300.0</v>
      </c>
      <c r="BP18" s="47">
        <v>47331.0</v>
      </c>
      <c r="BQ18" s="47">
        <v>47362.0</v>
      </c>
      <c r="BR18" s="47">
        <v>47392.0</v>
      </c>
      <c r="BS18" s="47">
        <v>47423.0</v>
      </c>
      <c r="BT18" s="47">
        <v>47453.0</v>
      </c>
    </row>
    <row r="19" ht="15.75" customHeight="1">
      <c r="A19" s="1"/>
      <c r="B19" s="48" t="s">
        <v>32</v>
      </c>
      <c r="C19" s="49" t="s">
        <v>33</v>
      </c>
      <c r="D19" s="50" t="s">
        <v>34</v>
      </c>
      <c r="E19" s="51" t="s">
        <v>35</v>
      </c>
      <c r="F19" s="51" t="s">
        <v>36</v>
      </c>
      <c r="G19" s="52" t="s">
        <v>37</v>
      </c>
      <c r="H19" s="53" t="s">
        <v>1</v>
      </c>
      <c r="I19" s="53" t="s">
        <v>1</v>
      </c>
      <c r="J19" s="50" t="s">
        <v>38</v>
      </c>
      <c r="K19" s="54" t="s">
        <v>39</v>
      </c>
      <c r="L19" s="55" t="s">
        <v>33</v>
      </c>
      <c r="M19" s="56" t="s">
        <v>40</v>
      </c>
      <c r="N19" s="56" t="s">
        <v>41</v>
      </c>
      <c r="O19" s="57" t="s">
        <v>42</v>
      </c>
      <c r="P19" s="58" t="s">
        <v>43</v>
      </c>
      <c r="Q19" s="59">
        <v>350.0</v>
      </c>
      <c r="R19" s="60" t="s">
        <v>44</v>
      </c>
      <c r="S19" s="59">
        <v>4000.0</v>
      </c>
      <c r="T19" s="61"/>
      <c r="U19" s="61"/>
      <c r="V19" s="61"/>
      <c r="W19" s="61"/>
      <c r="X19" s="61"/>
      <c r="Y19" s="61"/>
      <c r="Z19" s="61"/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2" t="s">
        <v>45</v>
      </c>
      <c r="AK19" s="62" t="s">
        <v>45</v>
      </c>
      <c r="AL19" s="62" t="s">
        <v>45</v>
      </c>
      <c r="AM19" s="62" t="s">
        <v>45</v>
      </c>
      <c r="AN19" s="62" t="s">
        <v>45</v>
      </c>
      <c r="AO19" s="62" t="s">
        <v>45</v>
      </c>
      <c r="AP19" s="62" t="s">
        <v>45</v>
      </c>
      <c r="AQ19" s="62" t="s">
        <v>45</v>
      </c>
      <c r="AR19" s="62" t="s">
        <v>45</v>
      </c>
      <c r="AS19" s="62" t="s">
        <v>45</v>
      </c>
      <c r="AT19" s="62" t="s">
        <v>45</v>
      </c>
      <c r="AU19" s="63">
        <v>0.5</v>
      </c>
      <c r="AV19" s="63">
        <v>0.5</v>
      </c>
      <c r="AW19" s="63">
        <v>0.5</v>
      </c>
      <c r="AX19" s="63">
        <v>0.5</v>
      </c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</row>
    <row r="20" ht="15.75" customHeight="1">
      <c r="A20" s="1"/>
      <c r="B20" s="48" t="s">
        <v>32</v>
      </c>
      <c r="C20" s="49" t="s">
        <v>46</v>
      </c>
      <c r="D20" s="50" t="s">
        <v>34</v>
      </c>
      <c r="E20" s="51" t="s">
        <v>35</v>
      </c>
      <c r="F20" s="51" t="s">
        <v>36</v>
      </c>
      <c r="G20" s="52" t="s">
        <v>37</v>
      </c>
      <c r="H20" s="53" t="s">
        <v>1</v>
      </c>
      <c r="I20" s="53" t="s">
        <v>1</v>
      </c>
      <c r="J20" s="50" t="s">
        <v>38</v>
      </c>
      <c r="K20" s="54" t="s">
        <v>39</v>
      </c>
      <c r="L20" s="55" t="s">
        <v>47</v>
      </c>
      <c r="M20" s="64" t="s">
        <v>48</v>
      </c>
      <c r="N20" s="56" t="s">
        <v>41</v>
      </c>
      <c r="O20" s="57" t="s">
        <v>42</v>
      </c>
      <c r="P20" s="58" t="s">
        <v>49</v>
      </c>
      <c r="Q20" s="59">
        <v>6000.0</v>
      </c>
      <c r="R20" s="60" t="s">
        <v>44</v>
      </c>
      <c r="S20" s="59">
        <v>35000.0</v>
      </c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2">
        <v>1.0</v>
      </c>
      <c r="AS20" s="62">
        <v>1.0</v>
      </c>
      <c r="AT20" s="62">
        <v>1.0</v>
      </c>
      <c r="AU20" s="62">
        <v>1.0</v>
      </c>
      <c r="AV20" s="62">
        <v>1.0</v>
      </c>
      <c r="AW20" s="62">
        <v>1.0</v>
      </c>
      <c r="AX20" s="62">
        <v>1.0</v>
      </c>
      <c r="AY20" s="62">
        <v>1.0</v>
      </c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</row>
    <row r="21" ht="15.75" customHeight="1">
      <c r="A21" s="1"/>
      <c r="B21" s="65" t="s">
        <v>50</v>
      </c>
      <c r="C21" s="50" t="s">
        <v>51</v>
      </c>
      <c r="D21" s="50" t="s">
        <v>34</v>
      </c>
      <c r="E21" s="51" t="s">
        <v>35</v>
      </c>
      <c r="F21" s="51" t="s">
        <v>36</v>
      </c>
      <c r="G21" s="52" t="s">
        <v>37</v>
      </c>
      <c r="H21" s="53" t="s">
        <v>1</v>
      </c>
      <c r="I21" s="53" t="s">
        <v>1</v>
      </c>
      <c r="J21" s="49" t="s">
        <v>38</v>
      </c>
      <c r="K21" s="54" t="s">
        <v>39</v>
      </c>
      <c r="L21" s="55" t="s">
        <v>52</v>
      </c>
      <c r="M21" s="56"/>
      <c r="N21" s="56" t="s">
        <v>41</v>
      </c>
      <c r="O21" s="57" t="s">
        <v>42</v>
      </c>
      <c r="P21" s="58"/>
      <c r="Q21" s="66"/>
      <c r="R21" s="60" t="s">
        <v>44</v>
      </c>
      <c r="S21" s="66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</row>
    <row r="22" ht="15.75" customHeight="1">
      <c r="A22" s="1"/>
      <c r="B22" s="65" t="s">
        <v>50</v>
      </c>
      <c r="C22" s="49" t="s">
        <v>53</v>
      </c>
      <c r="D22" s="50" t="s">
        <v>34</v>
      </c>
      <c r="E22" s="51" t="s">
        <v>35</v>
      </c>
      <c r="F22" s="51" t="s">
        <v>36</v>
      </c>
      <c r="G22" s="52" t="s">
        <v>37</v>
      </c>
      <c r="H22" s="53" t="s">
        <v>1</v>
      </c>
      <c r="I22" s="53" t="s">
        <v>1</v>
      </c>
      <c r="J22" s="50" t="s">
        <v>38</v>
      </c>
      <c r="K22" s="54" t="s">
        <v>39</v>
      </c>
      <c r="L22" s="55" t="s">
        <v>54</v>
      </c>
      <c r="M22" s="64"/>
      <c r="N22" s="56" t="s">
        <v>41</v>
      </c>
      <c r="O22" s="57" t="s">
        <v>42</v>
      </c>
      <c r="P22" s="58"/>
      <c r="Q22" s="66"/>
      <c r="R22" s="60" t="s">
        <v>44</v>
      </c>
      <c r="S22" s="66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</row>
    <row r="23" ht="15.75" customHeight="1">
      <c r="A23" s="1"/>
      <c r="B23" s="65" t="s">
        <v>50</v>
      </c>
      <c r="C23" s="49" t="s">
        <v>55</v>
      </c>
      <c r="D23" s="50" t="s">
        <v>34</v>
      </c>
      <c r="E23" s="51" t="s">
        <v>35</v>
      </c>
      <c r="F23" s="51" t="s">
        <v>36</v>
      </c>
      <c r="G23" s="52" t="s">
        <v>37</v>
      </c>
      <c r="H23" s="53" t="s">
        <v>1</v>
      </c>
      <c r="I23" s="53" t="s">
        <v>1</v>
      </c>
      <c r="J23" s="50" t="s">
        <v>38</v>
      </c>
      <c r="K23" s="54" t="s">
        <v>39</v>
      </c>
      <c r="L23" s="67" t="s">
        <v>56</v>
      </c>
      <c r="M23" s="56"/>
      <c r="N23" s="56" t="s">
        <v>41</v>
      </c>
      <c r="O23" s="57" t="s">
        <v>42</v>
      </c>
      <c r="P23" s="58"/>
      <c r="Q23" s="66"/>
      <c r="R23" s="60" t="s">
        <v>44</v>
      </c>
      <c r="S23" s="66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</row>
    <row r="24" ht="15.75" customHeight="1">
      <c r="A24" s="1"/>
      <c r="B24" s="65" t="s">
        <v>50</v>
      </c>
      <c r="C24" s="49" t="s">
        <v>57</v>
      </c>
      <c r="D24" s="50" t="s">
        <v>34</v>
      </c>
      <c r="E24" s="51" t="s">
        <v>35</v>
      </c>
      <c r="F24" s="51" t="s">
        <v>36</v>
      </c>
      <c r="G24" s="52" t="s">
        <v>37</v>
      </c>
      <c r="H24" s="53" t="s">
        <v>1</v>
      </c>
      <c r="I24" s="53" t="s">
        <v>1</v>
      </c>
      <c r="J24" s="50" t="s">
        <v>38</v>
      </c>
      <c r="K24" s="54" t="s">
        <v>39</v>
      </c>
      <c r="L24" s="68" t="s">
        <v>58</v>
      </c>
      <c r="M24" s="56"/>
      <c r="N24" s="56" t="s">
        <v>41</v>
      </c>
      <c r="O24" s="69" t="s">
        <v>42</v>
      </c>
      <c r="P24" s="58"/>
      <c r="Q24" s="70"/>
      <c r="R24" s="60" t="s">
        <v>44</v>
      </c>
      <c r="S24" s="66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</row>
    <row r="25" ht="15.75" customHeight="1">
      <c r="A25" s="1"/>
      <c r="B25" s="65" t="s">
        <v>50</v>
      </c>
      <c r="C25" s="49" t="s">
        <v>59</v>
      </c>
      <c r="D25" s="50" t="s">
        <v>34</v>
      </c>
      <c r="E25" s="51" t="s">
        <v>35</v>
      </c>
      <c r="F25" s="51" t="s">
        <v>36</v>
      </c>
      <c r="G25" s="52" t="s">
        <v>37</v>
      </c>
      <c r="H25" s="53" t="s">
        <v>1</v>
      </c>
      <c r="I25" s="53" t="s">
        <v>1</v>
      </c>
      <c r="J25" s="50" t="s">
        <v>38</v>
      </c>
      <c r="K25" s="54" t="s">
        <v>39</v>
      </c>
      <c r="L25" s="68" t="s">
        <v>60</v>
      </c>
      <c r="M25" s="56"/>
      <c r="N25" s="56" t="s">
        <v>41</v>
      </c>
      <c r="O25" s="69" t="s">
        <v>42</v>
      </c>
      <c r="P25" s="58"/>
      <c r="Q25" s="70"/>
      <c r="R25" s="60" t="s">
        <v>44</v>
      </c>
      <c r="S25" s="66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</row>
    <row r="26" ht="15.75" customHeight="1">
      <c r="A26" s="1"/>
      <c r="B26" s="65" t="s">
        <v>50</v>
      </c>
      <c r="C26" s="49" t="s">
        <v>61</v>
      </c>
      <c r="D26" s="50" t="s">
        <v>34</v>
      </c>
      <c r="E26" s="51" t="s">
        <v>35</v>
      </c>
      <c r="F26" s="51" t="s">
        <v>36</v>
      </c>
      <c r="G26" s="52" t="s">
        <v>37</v>
      </c>
      <c r="H26" s="53" t="s">
        <v>1</v>
      </c>
      <c r="I26" s="53" t="s">
        <v>1</v>
      </c>
      <c r="J26" s="50" t="s">
        <v>38</v>
      </c>
      <c r="K26" s="54" t="s">
        <v>39</v>
      </c>
      <c r="L26" s="55" t="s">
        <v>61</v>
      </c>
      <c r="M26" s="56"/>
      <c r="N26" s="56" t="s">
        <v>41</v>
      </c>
      <c r="O26" s="57" t="s">
        <v>42</v>
      </c>
      <c r="P26" s="58"/>
      <c r="Q26" s="66"/>
      <c r="R26" s="60" t="s">
        <v>44</v>
      </c>
      <c r="S26" s="66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</row>
    <row r="27" ht="15.75" customHeight="1">
      <c r="A27" s="1"/>
      <c r="B27" s="48" t="s">
        <v>32</v>
      </c>
      <c r="C27" s="49" t="s">
        <v>62</v>
      </c>
      <c r="D27" s="50" t="s">
        <v>34</v>
      </c>
      <c r="E27" s="51" t="s">
        <v>35</v>
      </c>
      <c r="F27" s="51" t="s">
        <v>36</v>
      </c>
      <c r="G27" s="52" t="s">
        <v>37</v>
      </c>
      <c r="H27" s="53" t="s">
        <v>1</v>
      </c>
      <c r="I27" s="53" t="s">
        <v>1</v>
      </c>
      <c r="J27" s="50" t="s">
        <v>38</v>
      </c>
      <c r="K27" s="54" t="s">
        <v>39</v>
      </c>
      <c r="L27" s="55" t="s">
        <v>62</v>
      </c>
      <c r="M27" s="56" t="s">
        <v>63</v>
      </c>
      <c r="N27" s="56" t="s">
        <v>41</v>
      </c>
      <c r="O27" s="57" t="s">
        <v>42</v>
      </c>
      <c r="P27" s="58" t="s">
        <v>43</v>
      </c>
      <c r="Q27" s="59">
        <v>150.0</v>
      </c>
      <c r="R27" s="60" t="s">
        <v>44</v>
      </c>
      <c r="S27" s="59">
        <v>25000.0</v>
      </c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2">
        <v>1.0</v>
      </c>
      <c r="AW27" s="71">
        <v>2.5</v>
      </c>
      <c r="AX27" s="62">
        <v>1.0</v>
      </c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</row>
    <row r="28" ht="15.75" customHeight="1">
      <c r="A28" s="1"/>
      <c r="B28" s="65" t="s">
        <v>50</v>
      </c>
      <c r="C28" s="49" t="s">
        <v>64</v>
      </c>
      <c r="D28" s="50" t="s">
        <v>34</v>
      </c>
      <c r="E28" s="51" t="s">
        <v>35</v>
      </c>
      <c r="F28" s="51" t="s">
        <v>36</v>
      </c>
      <c r="G28" s="52" t="s">
        <v>37</v>
      </c>
      <c r="H28" s="53" t="s">
        <v>1</v>
      </c>
      <c r="I28" s="53" t="s">
        <v>1</v>
      </c>
      <c r="J28" s="50" t="s">
        <v>38</v>
      </c>
      <c r="K28" s="54" t="s">
        <v>39</v>
      </c>
      <c r="L28" s="68" t="s">
        <v>65</v>
      </c>
      <c r="M28" s="64"/>
      <c r="N28" s="56" t="s">
        <v>41</v>
      </c>
      <c r="O28" s="57" t="s">
        <v>42</v>
      </c>
      <c r="P28" s="72"/>
      <c r="Q28" s="73"/>
      <c r="R28" s="60" t="s">
        <v>44</v>
      </c>
      <c r="S28" s="73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</row>
    <row r="29" ht="15.75" customHeight="1">
      <c r="A29" s="1"/>
      <c r="B29" s="65" t="s">
        <v>50</v>
      </c>
      <c r="C29" s="49" t="s">
        <v>66</v>
      </c>
      <c r="D29" s="50" t="s">
        <v>34</v>
      </c>
      <c r="E29" s="51" t="s">
        <v>35</v>
      </c>
      <c r="F29" s="51" t="s">
        <v>36</v>
      </c>
      <c r="G29" s="52" t="s">
        <v>37</v>
      </c>
      <c r="H29" s="53" t="s">
        <v>1</v>
      </c>
      <c r="I29" s="53" t="s">
        <v>1</v>
      </c>
      <c r="J29" s="50" t="s">
        <v>38</v>
      </c>
      <c r="K29" s="54" t="s">
        <v>39</v>
      </c>
      <c r="L29" s="55" t="s">
        <v>66</v>
      </c>
      <c r="M29" s="56"/>
      <c r="N29" s="56" t="s">
        <v>41</v>
      </c>
      <c r="O29" s="57" t="s">
        <v>42</v>
      </c>
      <c r="P29" s="58"/>
      <c r="Q29" s="66"/>
      <c r="R29" s="60" t="s">
        <v>44</v>
      </c>
      <c r="S29" s="66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</row>
    <row r="30" ht="15.75" customHeight="1">
      <c r="A30" s="1"/>
      <c r="B30" s="65" t="s">
        <v>50</v>
      </c>
      <c r="C30" s="49" t="s">
        <v>66</v>
      </c>
      <c r="D30" s="50" t="s">
        <v>34</v>
      </c>
      <c r="E30" s="51" t="s">
        <v>35</v>
      </c>
      <c r="F30" s="51" t="s">
        <v>36</v>
      </c>
      <c r="G30" s="52" t="s">
        <v>37</v>
      </c>
      <c r="H30" s="53" t="s">
        <v>1</v>
      </c>
      <c r="I30" s="53" t="s">
        <v>1</v>
      </c>
      <c r="J30" s="50" t="s">
        <v>38</v>
      </c>
      <c r="K30" s="54" t="s">
        <v>39</v>
      </c>
      <c r="L30" s="55" t="s">
        <v>66</v>
      </c>
      <c r="M30" s="56"/>
      <c r="N30" s="56" t="s">
        <v>41</v>
      </c>
      <c r="O30" s="57" t="s">
        <v>42</v>
      </c>
      <c r="P30" s="58"/>
      <c r="Q30" s="66"/>
      <c r="R30" s="60" t="s">
        <v>44</v>
      </c>
      <c r="S30" s="66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</row>
    <row r="31" ht="15.75" customHeight="1">
      <c r="A31" s="1"/>
      <c r="B31" s="65" t="s">
        <v>50</v>
      </c>
      <c r="C31" s="49" t="s">
        <v>67</v>
      </c>
      <c r="D31" s="50" t="s">
        <v>34</v>
      </c>
      <c r="E31" s="51" t="s">
        <v>35</v>
      </c>
      <c r="F31" s="51" t="s">
        <v>36</v>
      </c>
      <c r="G31" s="52" t="s">
        <v>37</v>
      </c>
      <c r="H31" s="53" t="s">
        <v>1</v>
      </c>
      <c r="I31" s="53" t="s">
        <v>1</v>
      </c>
      <c r="J31" s="50" t="s">
        <v>38</v>
      </c>
      <c r="K31" s="54" t="s">
        <v>39</v>
      </c>
      <c r="L31" s="68" t="s">
        <v>68</v>
      </c>
      <c r="M31" s="64"/>
      <c r="N31" s="56" t="s">
        <v>41</v>
      </c>
      <c r="O31" s="57" t="s">
        <v>42</v>
      </c>
      <c r="P31" s="58"/>
      <c r="Q31" s="66"/>
      <c r="R31" s="60" t="s">
        <v>44</v>
      </c>
      <c r="S31" s="66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</row>
    <row r="32" ht="15.75" customHeight="1">
      <c r="A32" s="1"/>
      <c r="B32" s="65" t="s">
        <v>50</v>
      </c>
      <c r="C32" s="49" t="s">
        <v>69</v>
      </c>
      <c r="D32" s="50" t="s">
        <v>34</v>
      </c>
      <c r="E32" s="51" t="s">
        <v>35</v>
      </c>
      <c r="F32" s="51" t="s">
        <v>36</v>
      </c>
      <c r="G32" s="52" t="s">
        <v>37</v>
      </c>
      <c r="H32" s="53" t="s">
        <v>1</v>
      </c>
      <c r="I32" s="53" t="s">
        <v>1</v>
      </c>
      <c r="J32" s="50" t="s">
        <v>38</v>
      </c>
      <c r="K32" s="54" t="s">
        <v>39</v>
      </c>
      <c r="L32" s="68" t="s">
        <v>69</v>
      </c>
      <c r="M32" s="56"/>
      <c r="N32" s="56" t="s">
        <v>41</v>
      </c>
      <c r="O32" s="57" t="s">
        <v>42</v>
      </c>
      <c r="P32" s="58"/>
      <c r="Q32" s="66"/>
      <c r="R32" s="60" t="s">
        <v>44</v>
      </c>
      <c r="S32" s="66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</row>
    <row r="33" ht="15.75" customHeight="1">
      <c r="A33" s="1"/>
      <c r="B33" s="65" t="s">
        <v>50</v>
      </c>
      <c r="C33" s="50" t="s">
        <v>51</v>
      </c>
      <c r="D33" s="50" t="s">
        <v>34</v>
      </c>
      <c r="E33" s="51" t="s">
        <v>35</v>
      </c>
      <c r="F33" s="51" t="s">
        <v>36</v>
      </c>
      <c r="G33" s="52" t="s">
        <v>37</v>
      </c>
      <c r="H33" s="53" t="s">
        <v>1</v>
      </c>
      <c r="I33" s="53" t="s">
        <v>1</v>
      </c>
      <c r="J33" s="49" t="s">
        <v>38</v>
      </c>
      <c r="K33" s="54" t="s">
        <v>39</v>
      </c>
      <c r="L33" s="68" t="s">
        <v>33</v>
      </c>
      <c r="M33" s="64"/>
      <c r="N33" s="56" t="s">
        <v>41</v>
      </c>
      <c r="O33" s="57" t="s">
        <v>42</v>
      </c>
      <c r="P33" s="58"/>
      <c r="Q33" s="66"/>
      <c r="R33" s="60" t="s">
        <v>44</v>
      </c>
      <c r="S33" s="66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</row>
    <row r="34" ht="15.75" customHeight="1">
      <c r="A34" s="1"/>
      <c r="B34" s="74" t="s">
        <v>70</v>
      </c>
      <c r="C34" s="50" t="s">
        <v>51</v>
      </c>
      <c r="D34" s="50" t="s">
        <v>34</v>
      </c>
      <c r="E34" s="51" t="s">
        <v>35</v>
      </c>
      <c r="F34" s="51" t="s">
        <v>36</v>
      </c>
      <c r="G34" s="52" t="s">
        <v>37</v>
      </c>
      <c r="H34" s="53" t="s">
        <v>71</v>
      </c>
      <c r="I34" s="53" t="s">
        <v>71</v>
      </c>
      <c r="J34" s="49" t="s">
        <v>72</v>
      </c>
      <c r="K34" s="54" t="s">
        <v>39</v>
      </c>
      <c r="L34" s="64"/>
      <c r="M34" s="64"/>
      <c r="N34" s="56" t="s">
        <v>41</v>
      </c>
      <c r="O34" s="57" t="s">
        <v>42</v>
      </c>
      <c r="P34" s="58"/>
      <c r="Q34" s="59">
        <v>750.0</v>
      </c>
      <c r="R34" s="60" t="s">
        <v>44</v>
      </c>
      <c r="S34" s="66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6">
        <v>2.0</v>
      </c>
      <c r="AS34" s="76">
        <v>2.0</v>
      </c>
      <c r="AT34" s="76">
        <v>2.0</v>
      </c>
      <c r="AU34" s="76">
        <v>2.0</v>
      </c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</row>
    <row r="35" ht="15.75" customHeight="1">
      <c r="S35" s="77"/>
      <c r="T35" s="78"/>
      <c r="U35" s="78"/>
      <c r="V35" s="78"/>
      <c r="W35" s="78"/>
      <c r="X35" s="78"/>
      <c r="Y35" s="78"/>
      <c r="Z35" s="78"/>
      <c r="AA35" s="78"/>
      <c r="AB35" s="78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</row>
    <row r="36" ht="15.75" customHeight="1">
      <c r="S36" s="77"/>
      <c r="T36" s="80"/>
      <c r="U36" s="80"/>
      <c r="V36" s="80"/>
      <c r="W36" s="80"/>
      <c r="X36" s="80"/>
      <c r="Y36" s="80"/>
      <c r="Z36" s="80"/>
      <c r="AA36" s="80"/>
      <c r="AB36" s="80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</row>
    <row r="37" ht="15.75" customHeight="1">
      <c r="Q37" s="77"/>
      <c r="S37" s="77"/>
      <c r="T37" s="80"/>
      <c r="U37" s="80"/>
      <c r="V37" s="80"/>
      <c r="W37" s="80"/>
      <c r="X37" s="80"/>
      <c r="Y37" s="80"/>
      <c r="Z37" s="80"/>
      <c r="AA37" s="80"/>
      <c r="AB37" s="80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</row>
    <row r="38" ht="15.75" customHeight="1">
      <c r="Q38" s="82"/>
      <c r="S38" s="77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</row>
    <row r="39" ht="15.75" customHeight="1">
      <c r="K39" s="83"/>
      <c r="N39" s="6"/>
      <c r="S39" s="77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</row>
    <row r="40" ht="15.75" customHeight="1">
      <c r="Q40" s="77"/>
      <c r="S40" s="77"/>
      <c r="T40" s="80"/>
      <c r="U40" s="80"/>
      <c r="V40" s="84"/>
      <c r="W40" s="84"/>
      <c r="X40" s="84"/>
      <c r="Y40" s="84"/>
      <c r="Z40" s="80"/>
      <c r="AA40" s="80"/>
      <c r="AB40" s="80"/>
      <c r="AC40" s="80"/>
      <c r="AD40" s="80"/>
      <c r="AE40" s="80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</row>
    <row r="41" ht="15.75" customHeight="1">
      <c r="Q41" s="77"/>
      <c r="S41" s="77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5"/>
      <c r="BJ41" s="85"/>
      <c r="BK41" s="85"/>
      <c r="BL41" s="85"/>
      <c r="BM41" s="85"/>
      <c r="BN41" s="85"/>
      <c r="BO41" s="85"/>
      <c r="BP41" s="85"/>
      <c r="BQ41" s="80"/>
      <c r="BR41" s="80"/>
      <c r="BS41" s="80"/>
      <c r="BT41" s="80"/>
    </row>
    <row r="42" ht="15.75" customHeight="1">
      <c r="Q42" s="77"/>
      <c r="S42" s="77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5"/>
      <c r="BJ42" s="85"/>
      <c r="BK42" s="85"/>
      <c r="BL42" s="85"/>
      <c r="BM42" s="85"/>
      <c r="BN42" s="85"/>
      <c r="BO42" s="85"/>
      <c r="BP42" s="80"/>
      <c r="BQ42" s="80"/>
      <c r="BR42" s="80"/>
      <c r="BS42" s="80"/>
      <c r="BT42" s="80"/>
    </row>
    <row r="43" ht="15.75" customHeight="1">
      <c r="S43" s="77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5"/>
      <c r="AH43" s="85"/>
      <c r="AI43" s="85"/>
      <c r="AJ43" s="85"/>
      <c r="AK43" s="85"/>
      <c r="AL43" s="85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</row>
    <row r="44" ht="15.75" customHeight="1">
      <c r="Q44" s="77"/>
      <c r="S44" s="77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</row>
    <row r="45" ht="15.75" customHeight="1">
      <c r="Q45" s="77"/>
      <c r="S45" s="77"/>
      <c r="T45" s="80"/>
      <c r="U45" s="80"/>
      <c r="V45" s="80"/>
      <c r="W45" s="80"/>
      <c r="X45" s="80"/>
      <c r="Y45" s="80"/>
      <c r="Z45" s="80"/>
      <c r="AA45" s="80"/>
      <c r="AB45" s="80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0"/>
      <c r="AX45" s="80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1:J16"/>
    <mergeCell ref="K2:O2"/>
    <mergeCell ref="G14:I16"/>
  </mergeCells>
  <dataValidations>
    <dataValidation type="list" allowBlank="1" showErrorMessage="1" sqref="D19:D34">
      <formula1>"1 Base"</formula1>
    </dataValidation>
    <dataValidation type="list" allowBlank="1" showErrorMessage="1" sqref="G19:G34">
      <formula1>"SysVal"</formula1>
    </dataValidation>
    <dataValidation type="list" allowBlank="1" showErrorMessage="1" sqref="C19:C25 C27:C34">
      <formula1>"SiL,KPI,HIL,System Test,System Integration Test,Simulation,Vehicle tooling,Trace checker,Pipeline,Operations,RCC,PIL,Other"</formula1>
    </dataValidation>
    <dataValidation type="list" allowBlank="1" showErrorMessage="1" sqref="H19:I34">
      <formula1>"P1 GM,P1 MBAG,P2 BMW"</formula1>
    </dataValidation>
    <dataValidation type="list" allowBlank="1" sqref="R19:R34">
      <formula1>"yes,no"</formula1>
    </dataValidation>
    <dataValidation type="list" allowBlank="1" showErrorMessage="1" sqref="J19:J34">
      <formula1>"P1,P2"</formula1>
    </dataValidation>
    <dataValidation type="list" allowBlank="1" showErrorMessage="1" sqref="K19:K34 M19:O34">
      <formula1>#REF!</formula1>
    </dataValidation>
    <dataValidation type="list" allowBlank="1" showErrorMessage="1" sqref="C26">
      <formula1>"SiL,KPI,HIL,System Test,System Integration Test,Simulation,Vehicle tooling,Trace checker,Pipeline,Operations,RCC,PIL,Other,Visualization"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6.0" ySplit="13.0" topLeftCell="Q14" activePane="bottomRight" state="frozen"/>
      <selection activeCell="Q1" sqref="Q1" pane="topRight"/>
      <selection activeCell="A14" sqref="A14" pane="bottomLeft"/>
      <selection activeCell="Q14" sqref="Q14" pane="bottomRight"/>
    </sheetView>
  </sheetViews>
  <sheetFormatPr customHeight="1" defaultColWidth="12.63" defaultRowHeight="15.0" outlineLevelCol="1"/>
  <cols>
    <col collapsed="1" customWidth="1" min="1" max="1" width="17.5"/>
    <col customWidth="1" hidden="1" min="2" max="2" width="24.25" outlineLevel="1"/>
    <col customWidth="1" hidden="1" min="3" max="3" width="25.63" outlineLevel="1"/>
    <col customWidth="1" hidden="1" min="4" max="4" width="20.38" outlineLevel="1"/>
    <col customWidth="1" hidden="1" min="5" max="5" width="20.63" outlineLevel="1"/>
    <col customWidth="1" hidden="1" min="6" max="7" width="12.63" outlineLevel="1"/>
    <col customWidth="1" min="9" max="9" width="12.63"/>
    <col customWidth="1" min="10" max="10" width="12.63" outlineLevel="1"/>
    <col customWidth="1" min="11" max="11" width="29.0" outlineLevel="1"/>
    <col customWidth="1" min="12" max="12" width="27.88" outlineLevel="1"/>
    <col customWidth="1" min="13" max="13" width="22.25" outlineLevel="1"/>
    <col customWidth="1" min="14" max="14" width="22.25"/>
    <col customWidth="1" min="15" max="15" width="3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"/>
      <c r="N1" s="4"/>
      <c r="O1" s="4"/>
      <c r="P1" s="1"/>
      <c r="Q1" s="3">
        <v>8.0</v>
      </c>
      <c r="R1" s="3">
        <v>9.0</v>
      </c>
      <c r="S1" s="3">
        <v>10.0</v>
      </c>
      <c r="T1" s="3">
        <v>11.0</v>
      </c>
      <c r="U1" s="3">
        <v>12.0</v>
      </c>
      <c r="V1" s="3">
        <v>1.0</v>
      </c>
      <c r="W1" s="3">
        <v>2.0</v>
      </c>
      <c r="X1" s="3">
        <v>3.0</v>
      </c>
      <c r="Y1" s="3">
        <v>4.0</v>
      </c>
      <c r="Z1" s="3">
        <v>5.0</v>
      </c>
      <c r="AA1" s="3">
        <v>6.0</v>
      </c>
      <c r="AB1" s="3">
        <v>7.0</v>
      </c>
      <c r="AC1" s="3">
        <v>8.0</v>
      </c>
      <c r="AD1" s="3">
        <v>9.0</v>
      </c>
      <c r="AE1" s="3">
        <v>10.0</v>
      </c>
      <c r="AF1" s="3">
        <v>11.0</v>
      </c>
      <c r="AG1" s="3">
        <v>12.0</v>
      </c>
      <c r="AH1" s="3">
        <v>1.0</v>
      </c>
      <c r="AI1" s="3">
        <v>2.0</v>
      </c>
      <c r="AJ1" s="3">
        <v>3.0</v>
      </c>
      <c r="AK1" s="3">
        <v>4.0</v>
      </c>
      <c r="AL1" s="3">
        <v>5.0</v>
      </c>
      <c r="AM1" s="3">
        <v>6.0</v>
      </c>
      <c r="AN1" s="3">
        <v>7.0</v>
      </c>
      <c r="AO1" s="3">
        <v>8.0</v>
      </c>
      <c r="AP1" s="3">
        <v>9.0</v>
      </c>
      <c r="AQ1" s="3">
        <v>10.0</v>
      </c>
      <c r="AR1" s="3">
        <v>11.0</v>
      </c>
      <c r="AS1" s="3">
        <v>12.0</v>
      </c>
      <c r="AT1" s="3">
        <v>1.0</v>
      </c>
      <c r="AU1" s="3">
        <v>2.0</v>
      </c>
      <c r="AV1" s="3">
        <v>3.0</v>
      </c>
      <c r="AW1" s="3">
        <v>4.0</v>
      </c>
      <c r="AX1" s="3">
        <v>5.0</v>
      </c>
      <c r="AY1" s="3">
        <v>6.0</v>
      </c>
      <c r="AZ1" s="3">
        <v>7.0</v>
      </c>
      <c r="BA1" s="3">
        <v>8.0</v>
      </c>
      <c r="BB1" s="3">
        <v>9.0</v>
      </c>
      <c r="BC1" s="3">
        <v>10.0</v>
      </c>
      <c r="BD1" s="3">
        <v>11.0</v>
      </c>
      <c r="BE1" s="3">
        <v>12.0</v>
      </c>
      <c r="BF1" s="3">
        <v>1.0</v>
      </c>
      <c r="BG1" s="3">
        <v>2.0</v>
      </c>
      <c r="BH1" s="3">
        <v>3.0</v>
      </c>
      <c r="BI1" s="3">
        <v>4.0</v>
      </c>
      <c r="BJ1" s="3">
        <v>5.0</v>
      </c>
      <c r="BK1" s="3">
        <v>6.0</v>
      </c>
      <c r="BL1" s="3">
        <v>7.0</v>
      </c>
      <c r="BM1" s="3">
        <v>8.0</v>
      </c>
      <c r="BN1" s="3">
        <v>9.0</v>
      </c>
      <c r="BO1" s="3">
        <v>10.0</v>
      </c>
      <c r="BP1" s="3">
        <v>11.0</v>
      </c>
      <c r="BQ1" s="3">
        <v>12.0</v>
      </c>
    </row>
    <row r="2" ht="15.75" customHeight="1">
      <c r="A2" s="6"/>
      <c r="B2" s="1"/>
      <c r="C2" s="1"/>
      <c r="D2" s="2"/>
      <c r="E2" s="2"/>
      <c r="F2" s="2"/>
      <c r="G2" s="2"/>
      <c r="H2" s="2"/>
      <c r="I2" s="1"/>
      <c r="J2" s="7"/>
      <c r="N2" s="4"/>
      <c r="O2" s="4"/>
      <c r="P2" s="4"/>
      <c r="Q2" s="9">
        <v>2025.0</v>
      </c>
      <c r="R2" s="9">
        <v>2025.0</v>
      </c>
      <c r="S2" s="9">
        <v>2025.0</v>
      </c>
      <c r="T2" s="9">
        <v>2025.0</v>
      </c>
      <c r="U2" s="9">
        <v>2025.0</v>
      </c>
      <c r="V2" s="9">
        <v>2026.0</v>
      </c>
      <c r="W2" s="9">
        <v>2026.0</v>
      </c>
      <c r="X2" s="9">
        <v>2026.0</v>
      </c>
      <c r="Y2" s="9">
        <v>2026.0</v>
      </c>
      <c r="Z2" s="9">
        <v>2026.0</v>
      </c>
      <c r="AA2" s="9">
        <v>2026.0</v>
      </c>
      <c r="AB2" s="9">
        <v>2026.0</v>
      </c>
      <c r="AC2" s="9">
        <v>2026.0</v>
      </c>
      <c r="AD2" s="9">
        <v>2026.0</v>
      </c>
      <c r="AE2" s="9">
        <v>2026.0</v>
      </c>
      <c r="AF2" s="9">
        <v>2026.0</v>
      </c>
      <c r="AG2" s="9">
        <v>2026.0</v>
      </c>
      <c r="AH2" s="9">
        <v>2027.0</v>
      </c>
      <c r="AI2" s="9">
        <v>2027.0</v>
      </c>
      <c r="AJ2" s="9">
        <v>2027.0</v>
      </c>
      <c r="AK2" s="9">
        <v>2027.0</v>
      </c>
      <c r="AL2" s="9">
        <v>2027.0</v>
      </c>
      <c r="AM2" s="9">
        <v>2027.0</v>
      </c>
      <c r="AN2" s="9">
        <v>2027.0</v>
      </c>
      <c r="AO2" s="9">
        <v>2027.0</v>
      </c>
      <c r="AP2" s="9">
        <v>2027.0</v>
      </c>
      <c r="AQ2" s="9">
        <v>2027.0</v>
      </c>
      <c r="AR2" s="9">
        <v>2027.0</v>
      </c>
      <c r="AS2" s="9">
        <v>2027.0</v>
      </c>
      <c r="AT2" s="9">
        <v>2028.0</v>
      </c>
      <c r="AU2" s="9">
        <v>2028.0</v>
      </c>
      <c r="AV2" s="9">
        <v>2028.0</v>
      </c>
      <c r="AW2" s="9">
        <v>2028.0</v>
      </c>
      <c r="AX2" s="9">
        <v>2028.0</v>
      </c>
      <c r="AY2" s="9">
        <v>2028.0</v>
      </c>
      <c r="AZ2" s="9">
        <v>2028.0</v>
      </c>
      <c r="BA2" s="9">
        <v>2028.0</v>
      </c>
      <c r="BB2" s="9">
        <v>2028.0</v>
      </c>
      <c r="BC2" s="9">
        <v>2028.0</v>
      </c>
      <c r="BD2" s="9">
        <v>2028.0</v>
      </c>
      <c r="BE2" s="9">
        <v>2028.0</v>
      </c>
      <c r="BF2" s="9">
        <v>2029.0</v>
      </c>
      <c r="BG2" s="9">
        <v>2029.0</v>
      </c>
      <c r="BH2" s="9">
        <v>2029.0</v>
      </c>
      <c r="BI2" s="9">
        <v>2029.0</v>
      </c>
      <c r="BJ2" s="9">
        <v>2029.0</v>
      </c>
      <c r="BK2" s="9">
        <v>2029.0</v>
      </c>
      <c r="BL2" s="9">
        <v>2029.0</v>
      </c>
      <c r="BM2" s="9">
        <v>2029.0</v>
      </c>
      <c r="BN2" s="9">
        <v>2029.0</v>
      </c>
      <c r="BO2" s="9">
        <v>2029.0</v>
      </c>
      <c r="BP2" s="9">
        <v>2029.0</v>
      </c>
      <c r="BQ2" s="9">
        <v>2029.0</v>
      </c>
    </row>
    <row r="3" ht="15.75" customHeight="1">
      <c r="A3" s="6"/>
      <c r="B3" s="1"/>
      <c r="C3" s="1"/>
      <c r="D3" s="1"/>
      <c r="E3" s="1"/>
      <c r="F3" s="1"/>
      <c r="G3" s="12"/>
      <c r="H3" s="1"/>
      <c r="I3" s="6"/>
      <c r="J3" s="1"/>
      <c r="K3" s="1"/>
      <c r="L3" s="1"/>
      <c r="M3" s="4"/>
      <c r="N3" s="4"/>
      <c r="O3" s="13" t="s">
        <v>1</v>
      </c>
      <c r="P3" s="14"/>
      <c r="Q3" s="16" t="str">
        <f>+'Resource Planning'!T3</f>
        <v/>
      </c>
      <c r="R3" s="17" t="str">
        <f>+'Resource Planning'!U3</f>
        <v/>
      </c>
      <c r="S3" s="17" t="str">
        <f>+'Resource Planning'!V3</f>
        <v/>
      </c>
      <c r="T3" s="17" t="str">
        <f>+'Resource Planning'!W3</f>
        <v/>
      </c>
      <c r="U3" s="18" t="s">
        <v>2</v>
      </c>
      <c r="V3" s="19"/>
      <c r="W3" s="19"/>
      <c r="X3" s="19"/>
      <c r="Y3" s="18" t="s">
        <v>3</v>
      </c>
      <c r="Z3" s="19"/>
      <c r="AA3" s="18"/>
      <c r="AB3" s="19"/>
      <c r="AC3" s="19"/>
      <c r="AD3" s="18"/>
      <c r="AE3" s="19"/>
      <c r="AF3" s="18"/>
      <c r="AG3" s="19"/>
      <c r="AH3" s="18"/>
      <c r="AI3" s="19"/>
      <c r="AJ3" s="19"/>
      <c r="AK3" s="18"/>
      <c r="AL3" s="18"/>
      <c r="AM3" s="18" t="s">
        <v>4</v>
      </c>
      <c r="AN3" s="19"/>
      <c r="AO3" s="18" t="s">
        <v>5</v>
      </c>
      <c r="AP3" s="19"/>
      <c r="AQ3" s="19"/>
      <c r="AR3" s="18"/>
      <c r="AS3" s="18" t="s">
        <v>6</v>
      </c>
      <c r="AT3" s="18"/>
      <c r="AU3" s="19"/>
      <c r="AV3" s="19"/>
      <c r="AW3" s="19"/>
      <c r="AX3" s="19"/>
      <c r="AY3" s="18"/>
      <c r="AZ3" s="18"/>
      <c r="BA3" s="18"/>
      <c r="BB3" s="18" t="s">
        <v>7</v>
      </c>
      <c r="BC3" s="19"/>
      <c r="BD3" s="19"/>
      <c r="BE3" s="19"/>
      <c r="BF3" s="19"/>
      <c r="BG3" s="18"/>
      <c r="BH3" s="18"/>
      <c r="BI3" s="19"/>
      <c r="BJ3" s="19"/>
      <c r="BK3" s="19"/>
      <c r="BL3" s="18" t="s">
        <v>8</v>
      </c>
      <c r="BM3" s="17" t="str">
        <f>+'Resource Planning'!BP3</f>
        <v/>
      </c>
      <c r="BN3" s="17" t="str">
        <f>+'Resource Planning'!BQ3</f>
        <v/>
      </c>
      <c r="BO3" s="17" t="str">
        <f>+'Resource Planning'!BR3</f>
        <v/>
      </c>
      <c r="BP3" s="17" t="str">
        <f>+'Resource Planning'!BS3</f>
        <v/>
      </c>
      <c r="BQ3" s="17" t="str">
        <f>+'Resource Planning'!BT3</f>
        <v/>
      </c>
    </row>
    <row r="4" ht="15.75" customHeight="1">
      <c r="A4" s="6"/>
      <c r="B4" s="1"/>
      <c r="C4" s="1"/>
      <c r="D4" s="1"/>
      <c r="E4" s="1"/>
      <c r="F4" s="1"/>
      <c r="G4" s="20"/>
      <c r="H4" s="1"/>
      <c r="I4" s="6"/>
      <c r="J4" s="1"/>
      <c r="K4" s="1"/>
      <c r="L4" s="1"/>
      <c r="M4" s="4"/>
      <c r="N4" s="4"/>
      <c r="O4" s="20"/>
      <c r="P4" s="4"/>
      <c r="Q4" s="16" t="str">
        <f>+'Resource Planning'!T4</f>
        <v/>
      </c>
      <c r="R4" s="17" t="str">
        <f>+'Resource Planning'!U4</f>
        <v/>
      </c>
      <c r="S4" s="17" t="str">
        <f>+'Resource Planning'!V4</f>
        <v/>
      </c>
      <c r="T4" s="17" t="str">
        <f>+'Resource Planning'!W4</f>
        <v/>
      </c>
      <c r="U4" s="17" t="str">
        <f>+'Resource Planning'!X4</f>
        <v/>
      </c>
      <c r="V4" s="17" t="str">
        <f>+'Resource Planning'!Y4</f>
        <v/>
      </c>
      <c r="W4" s="17" t="str">
        <f>+'Resource Planning'!Z4</f>
        <v/>
      </c>
      <c r="X4" s="17" t="str">
        <f>+'Resource Planning'!AA4</f>
        <v/>
      </c>
      <c r="Y4" s="17" t="str">
        <f>+'Resource Planning'!AB4</f>
        <v/>
      </c>
      <c r="Z4" s="17" t="str">
        <f>+'Resource Planning'!AC4</f>
        <v/>
      </c>
      <c r="AA4" s="17" t="str">
        <f>+'Resource Planning'!AD4</f>
        <v/>
      </c>
      <c r="AB4" s="17" t="str">
        <f>+'Resource Planning'!AE4</f>
        <v/>
      </c>
      <c r="AC4" s="17" t="str">
        <f>+'Resource Planning'!AF4</f>
        <v/>
      </c>
      <c r="AD4" s="17" t="str">
        <f>+'Resource Planning'!AG4</f>
        <v/>
      </c>
      <c r="AE4" s="17" t="str">
        <f>+'Resource Planning'!AH4</f>
        <v/>
      </c>
      <c r="AF4" s="17" t="str">
        <f>+'Resource Planning'!AI4</f>
        <v/>
      </c>
      <c r="AG4" s="17" t="str">
        <f>+'Resource Planning'!AJ4</f>
        <v/>
      </c>
      <c r="AH4" s="17" t="str">
        <f>+'Resource Planning'!AK4</f>
        <v/>
      </c>
      <c r="AI4" s="17" t="str">
        <f>+'Resource Planning'!AL4</f>
        <v/>
      </c>
      <c r="AJ4" s="17" t="str">
        <f>+'Resource Planning'!AM4</f>
        <v/>
      </c>
      <c r="AK4" s="17" t="str">
        <f>+'Resource Planning'!AN4</f>
        <v/>
      </c>
      <c r="AL4" s="17" t="str">
        <f>+'Resource Planning'!AO4</f>
        <v/>
      </c>
      <c r="AM4" s="17" t="str">
        <f>+'Resource Planning'!AP4</f>
        <v/>
      </c>
      <c r="AN4" s="17" t="str">
        <f>+'Resource Planning'!AQ4</f>
        <v/>
      </c>
      <c r="AO4" s="17" t="str">
        <f>+'Resource Planning'!AR4</f>
        <v/>
      </c>
      <c r="AP4" s="17" t="str">
        <f>+'Resource Planning'!AS4</f>
        <v/>
      </c>
      <c r="AQ4" s="17" t="str">
        <f>+'Resource Planning'!AT4</f>
        <v/>
      </c>
      <c r="AR4" s="17" t="str">
        <f>+'Resource Planning'!AU4</f>
        <v/>
      </c>
      <c r="AS4" s="17" t="str">
        <f>+'Resource Planning'!AV4</f>
        <v/>
      </c>
      <c r="AT4" s="17" t="str">
        <f>+'Resource Planning'!AW4</f>
        <v/>
      </c>
      <c r="AU4" s="17" t="str">
        <f>+'Resource Planning'!AX4</f>
        <v/>
      </c>
      <c r="AV4" s="17" t="str">
        <f>+'Resource Planning'!AY4</f>
        <v/>
      </c>
      <c r="AW4" s="17" t="str">
        <f>+'Resource Planning'!AZ4</f>
        <v/>
      </c>
      <c r="AX4" s="17" t="str">
        <f>+'Resource Planning'!BA4</f>
        <v/>
      </c>
      <c r="AY4" s="17" t="str">
        <f>+'Resource Planning'!BB4</f>
        <v/>
      </c>
      <c r="AZ4" s="17" t="str">
        <f>+'Resource Planning'!BC4</f>
        <v/>
      </c>
      <c r="BA4" s="17" t="str">
        <f>+'Resource Planning'!BD4</f>
        <v/>
      </c>
      <c r="BB4" s="17" t="str">
        <f>+'Resource Planning'!BE4</f>
        <v/>
      </c>
      <c r="BC4" s="17" t="str">
        <f>+'Resource Planning'!BF4</f>
        <v/>
      </c>
      <c r="BD4" s="17" t="str">
        <f>+'Resource Planning'!BG4</f>
        <v/>
      </c>
      <c r="BE4" s="17" t="str">
        <f>+'Resource Planning'!BH4</f>
        <v/>
      </c>
      <c r="BF4" s="17" t="str">
        <f>+'Resource Planning'!BI4</f>
        <v/>
      </c>
      <c r="BG4" s="17" t="str">
        <f>+'Resource Planning'!BJ4</f>
        <v/>
      </c>
      <c r="BH4" s="17" t="str">
        <f>+'Resource Planning'!BK4</f>
        <v/>
      </c>
      <c r="BI4" s="17" t="str">
        <f>+'Resource Planning'!BL4</f>
        <v/>
      </c>
      <c r="BJ4" s="17" t="str">
        <f>+'Resource Planning'!BM4</f>
        <v/>
      </c>
      <c r="BK4" s="17" t="str">
        <f>+'Resource Planning'!BN4</f>
        <v/>
      </c>
      <c r="BL4" s="17" t="str">
        <f>+'Resource Planning'!BO4</f>
        <v/>
      </c>
      <c r="BM4" s="17" t="str">
        <f>+'Resource Planning'!BP4</f>
        <v/>
      </c>
      <c r="BN4" s="17" t="str">
        <f>+'Resource Planning'!BQ4</f>
        <v/>
      </c>
      <c r="BO4" s="17" t="str">
        <f>+'Resource Planning'!BR4</f>
        <v/>
      </c>
      <c r="BP4" s="17" t="str">
        <f>+'Resource Planning'!BS4</f>
        <v/>
      </c>
      <c r="BQ4" s="17" t="str">
        <f>+'Resource Planning'!BT4</f>
        <v/>
      </c>
    </row>
    <row r="5" ht="15.75" customHeight="1">
      <c r="A5" s="6"/>
      <c r="B5" s="1"/>
      <c r="C5" s="1"/>
      <c r="D5" s="1"/>
      <c r="E5" s="1"/>
      <c r="F5" s="1"/>
      <c r="G5" s="20"/>
      <c r="H5" s="1"/>
      <c r="I5" s="31"/>
      <c r="J5" s="1"/>
      <c r="K5" s="1"/>
      <c r="L5" s="1"/>
      <c r="M5" s="4"/>
      <c r="N5" s="4"/>
      <c r="O5" s="20"/>
      <c r="P5" s="4"/>
      <c r="Q5" s="16" t="str">
        <f>+'Resource Planning'!T5</f>
        <v/>
      </c>
      <c r="R5" s="17" t="str">
        <f>+'Resource Planning'!U5</f>
        <v/>
      </c>
      <c r="S5" s="17" t="str">
        <f>+'Resource Planning'!V5</f>
        <v/>
      </c>
      <c r="T5" s="17" t="str">
        <f>+'Resource Planning'!W5</f>
        <v/>
      </c>
      <c r="U5" s="17" t="str">
        <f>+'Resource Planning'!X5</f>
        <v/>
      </c>
      <c r="V5" s="17" t="str">
        <f>+'Resource Planning'!Y5</f>
        <v/>
      </c>
      <c r="W5" s="17" t="str">
        <f>+'Resource Planning'!Z5</f>
        <v/>
      </c>
      <c r="X5" s="17" t="str">
        <f>+'Resource Planning'!AA5</f>
        <v/>
      </c>
      <c r="Y5" s="17" t="str">
        <f>+'Resource Planning'!AB5</f>
        <v/>
      </c>
      <c r="Z5" s="17" t="str">
        <f>+'Resource Planning'!AC5</f>
        <v/>
      </c>
      <c r="AA5" s="17" t="str">
        <f>+'Resource Planning'!AD5</f>
        <v/>
      </c>
      <c r="AB5" s="17" t="str">
        <f>+'Resource Planning'!AE5</f>
        <v/>
      </c>
      <c r="AC5" s="17" t="str">
        <f>+'Resource Planning'!AF5</f>
        <v/>
      </c>
      <c r="AD5" s="17" t="str">
        <f>+'Resource Planning'!AG5</f>
        <v/>
      </c>
      <c r="AE5" s="17" t="str">
        <f>+'Resource Planning'!AH5</f>
        <v/>
      </c>
      <c r="AF5" s="17" t="str">
        <f>+'Resource Planning'!AI5</f>
        <v/>
      </c>
      <c r="AG5" s="17" t="str">
        <f>+'Resource Planning'!AJ5</f>
        <v/>
      </c>
      <c r="AH5" s="17" t="str">
        <f>+'Resource Planning'!AK5</f>
        <v/>
      </c>
      <c r="AI5" s="17" t="str">
        <f>+'Resource Planning'!AL5</f>
        <v/>
      </c>
      <c r="AJ5" s="17" t="str">
        <f>+'Resource Planning'!AM5</f>
        <v/>
      </c>
      <c r="AK5" s="17" t="str">
        <f>+'Resource Planning'!AN5</f>
        <v/>
      </c>
      <c r="AL5" s="17" t="str">
        <f>+'Resource Planning'!AO5</f>
        <v/>
      </c>
      <c r="AM5" s="17" t="str">
        <f>+'Resource Planning'!AP5</f>
        <v/>
      </c>
      <c r="AN5" s="17" t="str">
        <f>+'Resource Planning'!AQ5</f>
        <v/>
      </c>
      <c r="AO5" s="17" t="str">
        <f>+'Resource Planning'!AR5</f>
        <v/>
      </c>
      <c r="AP5" s="17" t="str">
        <f>+'Resource Planning'!AS5</f>
        <v/>
      </c>
      <c r="AQ5" s="17" t="str">
        <f>+'Resource Planning'!AT5</f>
        <v/>
      </c>
      <c r="AR5" s="17" t="str">
        <f>+'Resource Planning'!AU5</f>
        <v/>
      </c>
      <c r="AS5" s="17" t="str">
        <f>+'Resource Planning'!AV5</f>
        <v/>
      </c>
      <c r="AT5" s="17" t="str">
        <f>+'Resource Planning'!AW5</f>
        <v/>
      </c>
      <c r="AU5" s="17" t="str">
        <f>+'Resource Planning'!AX5</f>
        <v/>
      </c>
      <c r="AV5" s="17" t="str">
        <f>+'Resource Planning'!AY5</f>
        <v/>
      </c>
      <c r="AW5" s="17" t="str">
        <f>+'Resource Planning'!AZ5</f>
        <v/>
      </c>
      <c r="AX5" s="17" t="str">
        <f>+'Resource Planning'!BA5</f>
        <v/>
      </c>
      <c r="AY5" s="17" t="str">
        <f>+'Resource Planning'!BB5</f>
        <v/>
      </c>
      <c r="AZ5" s="17" t="str">
        <f>+'Resource Planning'!BC5</f>
        <v/>
      </c>
      <c r="BA5" s="17" t="str">
        <f>+'Resource Planning'!BD5</f>
        <v/>
      </c>
      <c r="BB5" s="17" t="str">
        <f>+'Resource Planning'!BE5</f>
        <v/>
      </c>
      <c r="BC5" s="17" t="str">
        <f>+'Resource Planning'!BF5</f>
        <v/>
      </c>
      <c r="BD5" s="17" t="str">
        <f>+'Resource Planning'!BG5</f>
        <v/>
      </c>
      <c r="BE5" s="17" t="str">
        <f>+'Resource Planning'!BH5</f>
        <v/>
      </c>
      <c r="BF5" s="17" t="str">
        <f>+'Resource Planning'!BI5</f>
        <v/>
      </c>
      <c r="BG5" s="17" t="str">
        <f>+'Resource Planning'!BJ5</f>
        <v/>
      </c>
      <c r="BH5" s="17" t="str">
        <f>+'Resource Planning'!BK5</f>
        <v/>
      </c>
      <c r="BI5" s="17" t="str">
        <f>+'Resource Planning'!BL5</f>
        <v/>
      </c>
      <c r="BJ5" s="17" t="str">
        <f>+'Resource Planning'!BM5</f>
        <v/>
      </c>
      <c r="BK5" s="17" t="str">
        <f>+'Resource Planning'!BN5</f>
        <v/>
      </c>
      <c r="BL5" s="17" t="str">
        <f>+'Resource Planning'!BO5</f>
        <v/>
      </c>
      <c r="BM5" s="17" t="str">
        <f>+'Resource Planning'!BP5</f>
        <v/>
      </c>
      <c r="BN5" s="17" t="str">
        <f>+'Resource Planning'!BQ5</f>
        <v/>
      </c>
      <c r="BO5" s="17" t="str">
        <f>+'Resource Planning'!BR5</f>
        <v/>
      </c>
      <c r="BP5" s="17" t="str">
        <f>+'Resource Planning'!BS5</f>
        <v/>
      </c>
      <c r="BQ5" s="17" t="str">
        <f>+'Resource Planning'!BT5</f>
        <v/>
      </c>
    </row>
    <row r="6" ht="15.75" customHeight="1">
      <c r="A6" s="1"/>
      <c r="B6" s="1"/>
      <c r="C6" s="1"/>
      <c r="D6" s="1"/>
      <c r="E6" s="1"/>
      <c r="F6" s="1"/>
      <c r="G6" s="20"/>
      <c r="H6" s="1"/>
      <c r="I6" s="1"/>
      <c r="J6" s="1"/>
      <c r="K6" s="1"/>
      <c r="L6" s="1"/>
      <c r="M6" s="4"/>
      <c r="N6" s="4"/>
      <c r="O6" s="20"/>
      <c r="P6" s="4"/>
      <c r="Q6" s="16" t="str">
        <f>+'Resource Planning'!T6</f>
        <v/>
      </c>
      <c r="R6" s="17" t="str">
        <f>+'Resource Planning'!U6</f>
        <v/>
      </c>
      <c r="S6" s="17" t="str">
        <f>+'Resource Planning'!V6</f>
        <v/>
      </c>
      <c r="T6" s="17" t="str">
        <f>+'Resource Planning'!W6</f>
        <v/>
      </c>
      <c r="U6" s="17" t="str">
        <f>+'Resource Planning'!X6</f>
        <v/>
      </c>
      <c r="V6" s="17" t="str">
        <f>+'Resource Planning'!Y6</f>
        <v/>
      </c>
      <c r="W6" s="17" t="str">
        <f>+'Resource Planning'!Z6</f>
        <v/>
      </c>
      <c r="X6" s="17" t="str">
        <f>+'Resource Planning'!AA6</f>
        <v/>
      </c>
      <c r="Y6" s="17" t="str">
        <f>+'Resource Planning'!AB6</f>
        <v/>
      </c>
      <c r="Z6" s="17" t="str">
        <f>+'Resource Planning'!AC6</f>
        <v/>
      </c>
      <c r="AA6" s="17" t="str">
        <f>+'Resource Planning'!AD6</f>
        <v/>
      </c>
      <c r="AB6" s="17" t="str">
        <f>+'Resource Planning'!AE6</f>
        <v/>
      </c>
      <c r="AC6" s="17" t="str">
        <f>+'Resource Planning'!AF6</f>
        <v/>
      </c>
      <c r="AD6" s="17" t="str">
        <f>+'Resource Planning'!AG6</f>
        <v/>
      </c>
      <c r="AE6" s="17" t="str">
        <f>+'Resource Planning'!AH6</f>
        <v/>
      </c>
      <c r="AF6" s="17" t="str">
        <f>+'Resource Planning'!AI6</f>
        <v/>
      </c>
      <c r="AG6" s="17" t="str">
        <f>+'Resource Planning'!AJ6</f>
        <v/>
      </c>
      <c r="AH6" s="17" t="str">
        <f>+'Resource Planning'!AK6</f>
        <v/>
      </c>
      <c r="AI6" s="17" t="str">
        <f>+'Resource Planning'!AL6</f>
        <v/>
      </c>
      <c r="AJ6" s="17" t="str">
        <f>+'Resource Planning'!AM6</f>
        <v/>
      </c>
      <c r="AK6" s="17" t="str">
        <f>+'Resource Planning'!AN6</f>
        <v/>
      </c>
      <c r="AL6" s="17" t="str">
        <f>+'Resource Planning'!AO6</f>
        <v/>
      </c>
      <c r="AM6" s="17" t="str">
        <f>+'Resource Planning'!AP6</f>
        <v/>
      </c>
      <c r="AN6" s="17" t="str">
        <f>+'Resource Planning'!AQ6</f>
        <v/>
      </c>
      <c r="AO6" s="17" t="str">
        <f>+'Resource Planning'!AR6</f>
        <v/>
      </c>
      <c r="AP6" s="17" t="str">
        <f>+'Resource Planning'!AS6</f>
        <v/>
      </c>
      <c r="AQ6" s="17" t="str">
        <f>+'Resource Planning'!AT6</f>
        <v/>
      </c>
      <c r="AR6" s="17" t="str">
        <f>+'Resource Planning'!AU6</f>
        <v/>
      </c>
      <c r="AS6" s="17" t="str">
        <f>+'Resource Planning'!AV6</f>
        <v/>
      </c>
      <c r="AT6" s="17" t="str">
        <f>+'Resource Planning'!AW6</f>
        <v/>
      </c>
      <c r="AU6" s="17" t="str">
        <f>+'Resource Planning'!AX6</f>
        <v/>
      </c>
      <c r="AV6" s="17" t="str">
        <f>+'Resource Planning'!AY6</f>
        <v/>
      </c>
      <c r="AW6" s="17" t="str">
        <f>+'Resource Planning'!AZ6</f>
        <v/>
      </c>
      <c r="AX6" s="17" t="str">
        <f>+'Resource Planning'!BA6</f>
        <v/>
      </c>
      <c r="AY6" s="17" t="str">
        <f>+'Resource Planning'!BB6</f>
        <v/>
      </c>
      <c r="AZ6" s="17" t="str">
        <f>+'Resource Planning'!BC6</f>
        <v/>
      </c>
      <c r="BA6" s="17" t="str">
        <f>+'Resource Planning'!BD6</f>
        <v/>
      </c>
      <c r="BB6" s="17" t="str">
        <f>+'Resource Planning'!BE6</f>
        <v/>
      </c>
      <c r="BC6" s="17" t="str">
        <f>+'Resource Planning'!BF6</f>
        <v/>
      </c>
      <c r="BD6" s="17" t="str">
        <f>+'Resource Planning'!BG6</f>
        <v/>
      </c>
      <c r="BE6" s="17" t="str">
        <f>+'Resource Planning'!BH6</f>
        <v/>
      </c>
      <c r="BF6" s="17" t="str">
        <f>+'Resource Planning'!BI6</f>
        <v/>
      </c>
      <c r="BG6" s="17" t="str">
        <f>+'Resource Planning'!BJ6</f>
        <v/>
      </c>
      <c r="BH6" s="17" t="str">
        <f>+'Resource Planning'!BK6</f>
        <v/>
      </c>
      <c r="BI6" s="17" t="str">
        <f>+'Resource Planning'!BL6</f>
        <v/>
      </c>
      <c r="BJ6" s="17" t="str">
        <f>+'Resource Planning'!BM6</f>
        <v/>
      </c>
      <c r="BK6" s="17" t="str">
        <f>+'Resource Planning'!BN6</f>
        <v/>
      </c>
      <c r="BL6" s="17" t="str">
        <f>+'Resource Planning'!BO6</f>
        <v/>
      </c>
      <c r="BM6" s="17" t="str">
        <f>+'Resource Planning'!BP6</f>
        <v/>
      </c>
      <c r="BN6" s="17" t="str">
        <f>+'Resource Planning'!BQ6</f>
        <v/>
      </c>
      <c r="BO6" s="17" t="str">
        <f>+'Resource Planning'!BR6</f>
        <v/>
      </c>
      <c r="BP6" s="17" t="str">
        <f>+'Resource Planning'!BS6</f>
        <v/>
      </c>
      <c r="BQ6" s="17" t="str">
        <f>+'Resource Planning'!BT6</f>
        <v/>
      </c>
    </row>
    <row r="7" ht="15.75" customHeight="1">
      <c r="A7" s="1"/>
      <c r="B7" s="1"/>
      <c r="C7" s="1"/>
      <c r="D7" s="1"/>
      <c r="E7" s="1"/>
      <c r="F7" s="1"/>
      <c r="G7" s="20"/>
      <c r="H7" s="1"/>
      <c r="I7" s="1"/>
      <c r="J7" s="1"/>
      <c r="K7" s="1"/>
      <c r="L7" s="1"/>
      <c r="M7" s="4"/>
      <c r="N7" s="4"/>
      <c r="O7" s="20"/>
      <c r="P7" s="4"/>
      <c r="Q7" s="24" t="str">
        <f>+'Resource Planning'!T7</f>
        <v/>
      </c>
      <c r="R7" s="25" t="str">
        <f>+'Resource Planning'!U7</f>
        <v/>
      </c>
      <c r="S7" s="25" t="str">
        <f>+'Resource Planning'!V7</f>
        <v/>
      </c>
      <c r="T7" s="25" t="str">
        <f>+'Resource Planning'!W7</f>
        <v/>
      </c>
      <c r="U7" s="25" t="str">
        <f>+'Resource Planning'!X7</f>
        <v/>
      </c>
      <c r="V7" s="25" t="str">
        <f>+'Resource Planning'!Y7</f>
        <v/>
      </c>
      <c r="W7" s="25" t="str">
        <f>+'Resource Planning'!Z7</f>
        <v/>
      </c>
      <c r="X7" s="25" t="str">
        <f>+'Resource Planning'!AA7</f>
        <v/>
      </c>
      <c r="Y7" s="25" t="str">
        <f>+'Resource Planning'!AB7</f>
        <v/>
      </c>
      <c r="Z7" s="25" t="str">
        <f>+'Resource Planning'!AC7</f>
        <v/>
      </c>
      <c r="AA7" s="25" t="str">
        <f>+'Resource Planning'!AD7</f>
        <v/>
      </c>
      <c r="AB7" s="25" t="str">
        <f>+'Resource Planning'!AE7</f>
        <v/>
      </c>
      <c r="AC7" s="25" t="str">
        <f>+'Resource Planning'!AF7</f>
        <v/>
      </c>
      <c r="AD7" s="25" t="str">
        <f>+'Resource Planning'!AG7</f>
        <v/>
      </c>
      <c r="AE7" s="25" t="str">
        <f>+'Resource Planning'!AH7</f>
        <v/>
      </c>
      <c r="AF7" s="25" t="str">
        <f>+'Resource Planning'!AI7</f>
        <v/>
      </c>
      <c r="AG7" s="25" t="str">
        <f>+'Resource Planning'!AJ7</f>
        <v/>
      </c>
      <c r="AH7" s="25" t="str">
        <f>+'Resource Planning'!AK7</f>
        <v/>
      </c>
      <c r="AI7" s="25" t="str">
        <f>+'Resource Planning'!AL7</f>
        <v/>
      </c>
      <c r="AJ7" s="25" t="str">
        <f>+'Resource Planning'!AM7</f>
        <v/>
      </c>
      <c r="AK7" s="25" t="str">
        <f>+'Resource Planning'!AN7</f>
        <v/>
      </c>
      <c r="AL7" s="25" t="str">
        <f>+'Resource Planning'!AO7</f>
        <v/>
      </c>
      <c r="AM7" s="25" t="str">
        <f>+'Resource Planning'!AP7</f>
        <v/>
      </c>
      <c r="AN7" s="25" t="str">
        <f>+'Resource Planning'!AQ7</f>
        <v/>
      </c>
      <c r="AO7" s="25" t="str">
        <f>+'Resource Planning'!AR7</f>
        <v/>
      </c>
      <c r="AP7" s="25" t="str">
        <f>+'Resource Planning'!AS7</f>
        <v/>
      </c>
      <c r="AQ7" s="25" t="str">
        <f>+'Resource Planning'!AT7</f>
        <v/>
      </c>
      <c r="AR7" s="25" t="str">
        <f>+'Resource Planning'!AU7</f>
        <v/>
      </c>
      <c r="AS7" s="25" t="str">
        <f>+'Resource Planning'!AV7</f>
        <v/>
      </c>
      <c r="AT7" s="25" t="str">
        <f>+'Resource Planning'!AW7</f>
        <v/>
      </c>
      <c r="AU7" s="25" t="str">
        <f>+'Resource Planning'!AX7</f>
        <v/>
      </c>
      <c r="AV7" s="25" t="str">
        <f>+'Resource Planning'!AY7</f>
        <v/>
      </c>
      <c r="AW7" s="25" t="str">
        <f>+'Resource Planning'!AZ7</f>
        <v/>
      </c>
      <c r="AX7" s="25" t="str">
        <f>+'Resource Planning'!BA7</f>
        <v/>
      </c>
      <c r="AY7" s="25" t="str">
        <f>+'Resource Planning'!BB7</f>
        <v/>
      </c>
      <c r="AZ7" s="25" t="str">
        <f>+'Resource Planning'!BC7</f>
        <v/>
      </c>
      <c r="BA7" s="25" t="str">
        <f>+'Resource Planning'!BD7</f>
        <v/>
      </c>
      <c r="BB7" s="25" t="str">
        <f>+'Resource Planning'!BE7</f>
        <v/>
      </c>
      <c r="BC7" s="25" t="str">
        <f>+'Resource Planning'!BF7</f>
        <v/>
      </c>
      <c r="BD7" s="25" t="str">
        <f>+'Resource Planning'!BG7</f>
        <v/>
      </c>
      <c r="BE7" s="25" t="str">
        <f>+'Resource Planning'!BH7</f>
        <v/>
      </c>
      <c r="BF7" s="25" t="str">
        <f>+'Resource Planning'!BI7</f>
        <v/>
      </c>
      <c r="BG7" s="25" t="str">
        <f>+'Resource Planning'!BJ7</f>
        <v/>
      </c>
      <c r="BH7" s="25" t="str">
        <f>+'Resource Planning'!BK7</f>
        <v/>
      </c>
      <c r="BI7" s="25" t="str">
        <f>+'Resource Planning'!BL7</f>
        <v/>
      </c>
      <c r="BJ7" s="25" t="str">
        <f>+'Resource Planning'!BM7</f>
        <v/>
      </c>
      <c r="BK7" s="25" t="str">
        <f>+'Resource Planning'!BN7</f>
        <v/>
      </c>
      <c r="BL7" s="25" t="str">
        <f>+'Resource Planning'!BO7</f>
        <v/>
      </c>
      <c r="BM7" s="25" t="str">
        <f>+'Resource Planning'!BP7</f>
        <v/>
      </c>
      <c r="BN7" s="25" t="str">
        <f>+'Resource Planning'!BQ7</f>
        <v/>
      </c>
      <c r="BO7" s="25" t="str">
        <f>+'Resource Planning'!BR7</f>
        <v/>
      </c>
      <c r="BP7" s="25" t="str">
        <f>+'Resource Planning'!BS7</f>
        <v/>
      </c>
      <c r="BQ7" s="25" t="str">
        <f>+'Resource Planning'!BT7</f>
        <v/>
      </c>
    </row>
    <row r="8" ht="15.75" customHeight="1">
      <c r="A8" s="1"/>
      <c r="B8" s="1"/>
      <c r="C8" s="1"/>
      <c r="D8" s="1"/>
      <c r="E8" s="1"/>
      <c r="F8" s="1"/>
      <c r="G8" s="20"/>
      <c r="H8" s="1"/>
      <c r="I8" s="1"/>
      <c r="J8" s="1"/>
      <c r="K8" s="1"/>
      <c r="L8" s="1"/>
      <c r="M8" s="4"/>
      <c r="N8" s="4"/>
      <c r="O8" s="20"/>
      <c r="P8" s="4"/>
      <c r="Q8" s="24" t="str">
        <f>+'Resource Planning'!T11</f>
        <v/>
      </c>
      <c r="R8" s="25" t="str">
        <f>+'Resource Planning'!U11</f>
        <v/>
      </c>
      <c r="S8" s="25" t="str">
        <f>+'Resource Planning'!V11</f>
        <v/>
      </c>
      <c r="T8" s="25" t="str">
        <f>+'Resource Planning'!W11</f>
        <v/>
      </c>
      <c r="U8" s="25" t="str">
        <f>+'Resource Planning'!X11</f>
        <v/>
      </c>
      <c r="V8" s="25" t="str">
        <f>+'Resource Planning'!Y11</f>
        <v/>
      </c>
      <c r="W8" s="25" t="str">
        <f>+'Resource Planning'!Z11</f>
        <v/>
      </c>
      <c r="X8" s="25" t="str">
        <f>+'Resource Planning'!AA11</f>
        <v/>
      </c>
      <c r="Y8" s="25" t="str">
        <f>+'Resource Planning'!AB11</f>
        <v/>
      </c>
      <c r="Z8" s="25" t="str">
        <f>+'Resource Planning'!AC11</f>
        <v/>
      </c>
      <c r="AA8" s="25" t="str">
        <f>+'Resource Planning'!AD11</f>
        <v/>
      </c>
      <c r="AB8" s="25" t="str">
        <f>+'Resource Planning'!AE11</f>
        <v/>
      </c>
      <c r="AC8" s="25" t="str">
        <f>+'Resource Planning'!AF11</f>
        <v/>
      </c>
      <c r="AD8" s="25" t="str">
        <f>+'Resource Planning'!AG11</f>
        <v/>
      </c>
      <c r="AE8" s="25" t="str">
        <f>+'Resource Planning'!AH11</f>
        <v/>
      </c>
      <c r="AF8" s="25" t="str">
        <f>+'Resource Planning'!AI11</f>
        <v/>
      </c>
      <c r="AG8" s="25" t="str">
        <f>+'Resource Planning'!AJ11</f>
        <v/>
      </c>
      <c r="AH8" s="25" t="str">
        <f>+'Resource Planning'!AK11</f>
        <v/>
      </c>
      <c r="AI8" s="25" t="str">
        <f>+'Resource Planning'!AL11</f>
        <v/>
      </c>
      <c r="AJ8" s="25" t="str">
        <f>+'Resource Planning'!AM11</f>
        <v/>
      </c>
      <c r="AK8" s="25" t="str">
        <f>+'Resource Planning'!AN11</f>
        <v/>
      </c>
      <c r="AL8" s="25" t="str">
        <f>+'Resource Planning'!AO11</f>
        <v/>
      </c>
      <c r="AM8" s="25" t="str">
        <f>+'Resource Planning'!AP11</f>
        <v/>
      </c>
      <c r="AN8" s="25" t="str">
        <f>+'Resource Planning'!AQ11</f>
        <v/>
      </c>
      <c r="AO8" s="25" t="str">
        <f>+'Resource Planning'!AR11</f>
        <v/>
      </c>
      <c r="AP8" s="25" t="str">
        <f>+'Resource Planning'!AS11</f>
        <v/>
      </c>
      <c r="AQ8" s="25" t="str">
        <f>+'Resource Planning'!AT11</f>
        <v/>
      </c>
      <c r="AR8" s="25" t="str">
        <f>+'Resource Planning'!AU11</f>
        <v/>
      </c>
      <c r="AS8" s="25" t="str">
        <f>+'Resource Planning'!AV11</f>
        <v/>
      </c>
      <c r="AT8" s="25" t="str">
        <f>+'Resource Planning'!AW11</f>
        <v/>
      </c>
      <c r="AU8" s="25" t="str">
        <f>+'Resource Planning'!AX11</f>
        <v/>
      </c>
      <c r="AV8" s="25" t="str">
        <f>+'Resource Planning'!AY11</f>
        <v/>
      </c>
      <c r="AW8" s="25" t="str">
        <f>+'Resource Planning'!AZ11</f>
        <v/>
      </c>
      <c r="AX8" s="25" t="str">
        <f>+'Resource Planning'!BA11</f>
        <v/>
      </c>
      <c r="AY8" s="25" t="str">
        <f>+'Resource Planning'!BB11</f>
        <v/>
      </c>
      <c r="AZ8" s="25" t="str">
        <f>+'Resource Planning'!BC11</f>
        <v/>
      </c>
      <c r="BA8" s="25" t="str">
        <f>+'Resource Planning'!BD11</f>
        <v/>
      </c>
      <c r="BB8" s="25" t="str">
        <f>+'Resource Planning'!BE11</f>
        <v/>
      </c>
      <c r="BC8" s="25" t="str">
        <f>+'Resource Planning'!BF11</f>
        <v/>
      </c>
      <c r="BD8" s="25" t="str">
        <f>+'Resource Planning'!BG11</f>
        <v/>
      </c>
      <c r="BE8" s="25" t="str">
        <f>+'Resource Planning'!BH11</f>
        <v/>
      </c>
      <c r="BF8" s="25" t="str">
        <f>+'Resource Planning'!BI11</f>
        <v/>
      </c>
      <c r="BG8" s="25" t="str">
        <f>+'Resource Planning'!BJ11</f>
        <v/>
      </c>
      <c r="BH8" s="25" t="str">
        <f>+'Resource Planning'!BK11</f>
        <v/>
      </c>
      <c r="BI8" s="25" t="str">
        <f>+'Resource Planning'!BL11</f>
        <v/>
      </c>
      <c r="BJ8" s="25" t="str">
        <f>+'Resource Planning'!BM11</f>
        <v/>
      </c>
      <c r="BK8" s="25" t="str">
        <f>+'Resource Planning'!BN11</f>
        <v/>
      </c>
      <c r="BL8" s="25" t="str">
        <f>+'Resource Planning'!BO11</f>
        <v/>
      </c>
      <c r="BM8" s="25" t="str">
        <f>+'Resource Planning'!BP11</f>
        <v/>
      </c>
      <c r="BN8" s="25" t="str">
        <f>+'Resource Planning'!BQ11</f>
        <v/>
      </c>
      <c r="BO8" s="25" t="str">
        <f>+'Resource Planning'!BR11</f>
        <v/>
      </c>
      <c r="BP8" s="25" t="str">
        <f>+'Resource Planning'!BS11</f>
        <v/>
      </c>
      <c r="BQ8" s="25" t="str">
        <f>+'Resource Planning'!BT11</f>
        <v/>
      </c>
    </row>
    <row r="9" ht="15.75" customHeight="1">
      <c r="A9" s="1"/>
      <c r="B9" s="1"/>
      <c r="C9" s="1"/>
      <c r="D9" s="1"/>
      <c r="E9" s="1"/>
      <c r="F9" s="1"/>
      <c r="G9" s="12"/>
      <c r="H9" s="1"/>
      <c r="I9" s="1"/>
      <c r="J9" s="1"/>
      <c r="K9" s="1"/>
      <c r="L9" s="1"/>
      <c r="M9" s="4"/>
      <c r="N9" s="4"/>
      <c r="O9" s="12"/>
      <c r="P9" s="4"/>
      <c r="Q9" s="16" t="str">
        <f>+'Resource Planning'!T14</f>
        <v/>
      </c>
      <c r="R9" s="17" t="str">
        <f>+'Resource Planning'!U14</f>
        <v/>
      </c>
      <c r="S9" s="17" t="str">
        <f>+'Resource Planning'!V14</f>
        <v/>
      </c>
      <c r="T9" s="17" t="str">
        <f>+'Resource Planning'!W14</f>
        <v/>
      </c>
      <c r="U9" s="17" t="str">
        <f>+'Resource Planning'!X14</f>
        <v/>
      </c>
      <c r="V9" s="17" t="str">
        <f>+'Resource Planning'!Y14</f>
        <v/>
      </c>
      <c r="W9" s="17" t="str">
        <f>+'Resource Planning'!Z14</f>
        <v/>
      </c>
      <c r="X9" s="17" t="str">
        <f>+'Resource Planning'!AA14</f>
        <v/>
      </c>
      <c r="Y9" s="17" t="str">
        <f>+'Resource Planning'!AB14</f>
        <v/>
      </c>
      <c r="Z9" s="17" t="str">
        <f>+'Resource Planning'!AC14</f>
        <v/>
      </c>
      <c r="AA9" s="17" t="str">
        <f>+'Resource Planning'!AD14</f>
        <v/>
      </c>
      <c r="AB9" s="17" t="str">
        <f>+'Resource Planning'!AE14</f>
        <v/>
      </c>
      <c r="AC9" s="17" t="str">
        <f>+'Resource Planning'!AF14</f>
        <v/>
      </c>
      <c r="AD9" s="17" t="str">
        <f>+'Resource Planning'!AG14</f>
        <v/>
      </c>
      <c r="AE9" s="17" t="str">
        <f>+'Resource Planning'!AH14</f>
        <v/>
      </c>
      <c r="AF9" s="17" t="str">
        <f>+'Resource Planning'!AI14</f>
        <v/>
      </c>
      <c r="AG9" s="17" t="str">
        <f>+'Resource Planning'!AJ14</f>
        <v/>
      </c>
      <c r="AH9" s="17" t="str">
        <f>+'Resource Planning'!AK14</f>
        <v/>
      </c>
      <c r="AI9" s="17" t="str">
        <f>+'Resource Planning'!AL14</f>
        <v/>
      </c>
      <c r="AJ9" s="17" t="str">
        <f>+'Resource Planning'!AM14</f>
        <v/>
      </c>
      <c r="AK9" s="17" t="str">
        <f>+'Resource Planning'!AN14</f>
        <v/>
      </c>
      <c r="AL9" s="17" t="str">
        <f>+'Resource Planning'!AO14</f>
        <v/>
      </c>
      <c r="AM9" s="17" t="str">
        <f>+'Resource Planning'!AP14</f>
        <v/>
      </c>
      <c r="AN9" s="17" t="str">
        <f>+'Resource Planning'!AQ14</f>
        <v/>
      </c>
      <c r="AO9" s="17" t="str">
        <f>+'Resource Planning'!AR14</f>
        <v/>
      </c>
      <c r="AP9" s="17" t="str">
        <f>+'Resource Planning'!AS14</f>
        <v/>
      </c>
      <c r="AQ9" s="17" t="str">
        <f>+'Resource Planning'!AT14</f>
        <v/>
      </c>
      <c r="AR9" s="17" t="str">
        <f>+'Resource Planning'!AU14</f>
        <v/>
      </c>
      <c r="AS9" s="17" t="str">
        <f>+'Resource Planning'!AV14</f>
        <v/>
      </c>
      <c r="AT9" s="17" t="str">
        <f>+'Resource Planning'!AW14</f>
        <v/>
      </c>
      <c r="AU9" s="17" t="str">
        <f>+'Resource Planning'!AX14</f>
        <v/>
      </c>
      <c r="AV9" s="17" t="str">
        <f>+'Resource Planning'!AY14</f>
        <v/>
      </c>
      <c r="AW9" s="17" t="str">
        <f>+'Resource Planning'!AZ14</f>
        <v/>
      </c>
      <c r="AX9" s="17" t="str">
        <f>+'Resource Planning'!BA14</f>
        <v/>
      </c>
      <c r="AY9" s="17" t="str">
        <f>+'Resource Planning'!BB14</f>
        <v/>
      </c>
      <c r="AZ9" s="17" t="str">
        <f>+'Resource Planning'!BC14</f>
        <v/>
      </c>
      <c r="BA9" s="17" t="str">
        <f>+'Resource Planning'!BD14</f>
        <v/>
      </c>
      <c r="BB9" s="17" t="str">
        <f>+'Resource Planning'!BE14</f>
        <v/>
      </c>
      <c r="BC9" s="17" t="str">
        <f>+'Resource Planning'!BF14</f>
        <v/>
      </c>
      <c r="BD9" s="17" t="str">
        <f>+'Resource Planning'!BG14</f>
        <v/>
      </c>
      <c r="BE9" s="17" t="str">
        <f>+'Resource Planning'!BH14</f>
        <v/>
      </c>
      <c r="BF9" s="17" t="str">
        <f>+'Resource Planning'!BI14</f>
        <v/>
      </c>
      <c r="BG9" s="17" t="str">
        <f>+'Resource Planning'!BJ14</f>
        <v/>
      </c>
      <c r="BH9" s="17" t="str">
        <f>+'Resource Planning'!BK14</f>
        <v/>
      </c>
      <c r="BI9" s="17" t="str">
        <f>+'Resource Planning'!BL14</f>
        <v/>
      </c>
      <c r="BJ9" s="17" t="str">
        <f>+'Resource Planning'!BM14</f>
        <v/>
      </c>
      <c r="BK9" s="17" t="str">
        <f>+'Resource Planning'!BN14</f>
        <v/>
      </c>
      <c r="BL9" s="17" t="str">
        <f>+'Resource Planning'!BO14</f>
        <v/>
      </c>
      <c r="BM9" s="17" t="str">
        <f>+'Resource Planning'!BP14</f>
        <v/>
      </c>
      <c r="BN9" s="17" t="str">
        <f>+'Resource Planning'!BQ14</f>
        <v/>
      </c>
      <c r="BO9" s="17" t="str">
        <f>+'Resource Planning'!BR14</f>
        <v/>
      </c>
      <c r="BP9" s="17" t="str">
        <f>+'Resource Planning'!BS14</f>
        <v/>
      </c>
      <c r="BQ9" s="17" t="str">
        <f>+'Resource Planning'!BT14</f>
        <v/>
      </c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4"/>
      <c r="P10" s="4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  <c r="O11" s="12" t="s">
        <v>11</v>
      </c>
      <c r="P11" s="32">
        <f>SUM(P14:P18)</f>
        <v>527150</v>
      </c>
      <c r="Q11" s="28" t="str">
        <f>+'Resource Planning'!T16</f>
        <v/>
      </c>
      <c r="R11" s="28" t="str">
        <f>+'Resource Planning'!U16</f>
        <v/>
      </c>
      <c r="S11" s="28" t="str">
        <f>+'Resource Planning'!V16</f>
        <v/>
      </c>
      <c r="T11" s="28" t="str">
        <f>+'Resource Planning'!W16</f>
        <v/>
      </c>
      <c r="U11" s="28" t="str">
        <f>+'Resource Planning'!X16</f>
        <v/>
      </c>
      <c r="V11" s="28" t="str">
        <f>+'Resource Planning'!Y16</f>
        <v/>
      </c>
      <c r="W11" s="28" t="str">
        <f>+'Resource Planning'!Z16</f>
        <v/>
      </c>
      <c r="X11" s="28" t="str">
        <f>+'Resource Planning'!AA16</f>
        <v/>
      </c>
      <c r="Y11" s="28" t="str">
        <f>+'Resource Planning'!AB16</f>
        <v/>
      </c>
      <c r="Z11" s="28" t="str">
        <f>+'Resource Planning'!AC16</f>
        <v/>
      </c>
      <c r="AA11" s="28" t="str">
        <f>+'Resource Planning'!AD16</f>
        <v/>
      </c>
      <c r="AB11" s="28" t="str">
        <f>+'Resource Planning'!AE16</f>
        <v/>
      </c>
      <c r="AC11" s="28" t="str">
        <f>+'Resource Planning'!AF16</f>
        <v/>
      </c>
      <c r="AD11" s="28" t="str">
        <f>+'Resource Planning'!AG16</f>
        <v/>
      </c>
      <c r="AE11" s="28" t="str">
        <f>+'Resource Planning'!AH16</f>
        <v/>
      </c>
      <c r="AF11" s="28" t="str">
        <f>+'Resource Planning'!AI16</f>
        <v/>
      </c>
      <c r="AG11" s="28" t="str">
        <f>+'Resource Planning'!AJ16</f>
        <v/>
      </c>
      <c r="AH11" s="28" t="str">
        <f>+'Resource Planning'!AK16</f>
        <v/>
      </c>
      <c r="AI11" s="28" t="str">
        <f>+'Resource Planning'!AL16</f>
        <v/>
      </c>
      <c r="AJ11" s="28" t="str">
        <f>+'Resource Planning'!AM16</f>
        <v/>
      </c>
      <c r="AK11" s="28" t="str">
        <f>+'Resource Planning'!AN16</f>
        <v/>
      </c>
      <c r="AL11" s="28" t="str">
        <f>+'Resource Planning'!AO16</f>
        <v/>
      </c>
      <c r="AM11" s="28" t="str">
        <f>+'Resource Planning'!AP16</f>
        <v/>
      </c>
      <c r="AN11" s="28" t="str">
        <f>+'Resource Planning'!AQ16</f>
        <v/>
      </c>
      <c r="AO11" s="28" t="str">
        <f>+'Resource Planning'!AR16</f>
        <v/>
      </c>
      <c r="AP11" s="28" t="str">
        <f>+'Resource Planning'!AS16</f>
        <v/>
      </c>
      <c r="AQ11" s="28" t="str">
        <f>+'Resource Planning'!AT16</f>
        <v/>
      </c>
      <c r="AR11" s="28" t="str">
        <f>+'Resource Planning'!AU16</f>
        <v/>
      </c>
      <c r="AS11" s="28" t="str">
        <f>+'Resource Planning'!AV16</f>
        <v/>
      </c>
      <c r="AT11" s="28" t="str">
        <f>+'Resource Planning'!AW16</f>
        <v/>
      </c>
      <c r="AU11" s="28" t="str">
        <f>+'Resource Planning'!AX16</f>
        <v/>
      </c>
      <c r="AV11" s="28" t="str">
        <f>+'Resource Planning'!AY16</f>
        <v/>
      </c>
      <c r="AW11" s="28" t="str">
        <f>+'Resource Planning'!AZ16</f>
        <v/>
      </c>
      <c r="AX11" s="28" t="str">
        <f>+'Resource Planning'!BA16</f>
        <v/>
      </c>
      <c r="AY11" s="28" t="str">
        <f>+'Resource Planning'!BB16</f>
        <v/>
      </c>
      <c r="AZ11" s="28" t="str">
        <f>+'Resource Planning'!BC16</f>
        <v/>
      </c>
      <c r="BA11" s="28" t="str">
        <f>+'Resource Planning'!BD16</f>
        <v/>
      </c>
      <c r="BB11" s="28" t="str">
        <f>+'Resource Planning'!BE16</f>
        <v/>
      </c>
      <c r="BC11" s="28" t="str">
        <f>+'Resource Planning'!BF16</f>
        <v/>
      </c>
      <c r="BD11" s="28" t="str">
        <f>+'Resource Planning'!BG16</f>
        <v/>
      </c>
      <c r="BE11" s="28" t="str">
        <f>+'Resource Planning'!BH16</f>
        <v/>
      </c>
      <c r="BF11" s="28" t="str">
        <f>+'Resource Planning'!BI16</f>
        <v/>
      </c>
      <c r="BG11" s="28" t="str">
        <f>+'Resource Planning'!BJ16</f>
        <v/>
      </c>
      <c r="BH11" s="28" t="str">
        <f>+'Resource Planning'!BK16</f>
        <v/>
      </c>
      <c r="BI11" s="28" t="str">
        <f>+'Resource Planning'!BL16</f>
        <v/>
      </c>
      <c r="BJ11" s="28" t="str">
        <f>+'Resource Planning'!BM16</f>
        <v/>
      </c>
      <c r="BK11" s="28" t="str">
        <f>+'Resource Planning'!BN16</f>
        <v/>
      </c>
      <c r="BL11" s="28" t="str">
        <f>+'Resource Planning'!BO16</f>
        <v/>
      </c>
      <c r="BM11" s="28" t="str">
        <f>+'Resource Planning'!BP16</f>
        <v/>
      </c>
      <c r="BN11" s="28" t="str">
        <f>+'Resource Planning'!BQ16</f>
        <v/>
      </c>
      <c r="BO11" s="28" t="str">
        <f>+'Resource Planning'!BR16</f>
        <v/>
      </c>
      <c r="BP11" s="28" t="str">
        <f>+'Resource Planning'!BS16</f>
        <v/>
      </c>
      <c r="BQ11" s="28" t="str">
        <f>+'Resource Planning'!BT16</f>
        <v/>
      </c>
    </row>
    <row r="12" ht="15.75" customHeight="1">
      <c r="A12" s="1"/>
      <c r="B12" s="86"/>
      <c r="C12" s="86"/>
      <c r="D12" s="87" t="s">
        <v>73</v>
      </c>
      <c r="E12" s="86"/>
      <c r="F12" s="86"/>
      <c r="G12" s="86"/>
      <c r="H12" s="86"/>
      <c r="I12" s="86"/>
      <c r="J12" s="86"/>
      <c r="K12" s="86"/>
      <c r="L12" s="86"/>
      <c r="M12" s="88" t="s">
        <v>74</v>
      </c>
      <c r="N12" s="89"/>
      <c r="O12" s="90" t="s">
        <v>75</v>
      </c>
      <c r="P12" s="86"/>
      <c r="Q12" s="91" t="s">
        <v>75</v>
      </c>
      <c r="R12" s="92" t="s">
        <v>75</v>
      </c>
      <c r="S12" s="92" t="s">
        <v>75</v>
      </c>
      <c r="T12" s="92" t="s">
        <v>75</v>
      </c>
      <c r="U12" s="92" t="s">
        <v>75</v>
      </c>
      <c r="V12" s="92" t="s">
        <v>75</v>
      </c>
      <c r="W12" s="92" t="s">
        <v>75</v>
      </c>
      <c r="X12" s="92" t="s">
        <v>75</v>
      </c>
      <c r="Y12" s="92" t="s">
        <v>75</v>
      </c>
      <c r="Z12" s="92" t="s">
        <v>75</v>
      </c>
      <c r="AA12" s="92" t="s">
        <v>75</v>
      </c>
      <c r="AB12" s="92" t="s">
        <v>75</v>
      </c>
      <c r="AC12" s="92" t="s">
        <v>75</v>
      </c>
      <c r="AD12" s="92" t="s">
        <v>75</v>
      </c>
      <c r="AE12" s="92" t="s">
        <v>75</v>
      </c>
      <c r="AF12" s="92" t="s">
        <v>75</v>
      </c>
      <c r="AG12" s="92" t="s">
        <v>75</v>
      </c>
      <c r="AH12" s="92" t="s">
        <v>75</v>
      </c>
      <c r="AI12" s="92" t="s">
        <v>75</v>
      </c>
      <c r="AJ12" s="92" t="s">
        <v>75</v>
      </c>
      <c r="AK12" s="92" t="s">
        <v>75</v>
      </c>
      <c r="AL12" s="92" t="s">
        <v>75</v>
      </c>
      <c r="AM12" s="92" t="s">
        <v>75</v>
      </c>
      <c r="AN12" s="92" t="s">
        <v>75</v>
      </c>
      <c r="AO12" s="92" t="s">
        <v>75</v>
      </c>
      <c r="AP12" s="92" t="s">
        <v>75</v>
      </c>
      <c r="AQ12" s="92" t="s">
        <v>75</v>
      </c>
      <c r="AR12" s="92" t="s">
        <v>75</v>
      </c>
      <c r="AS12" s="92" t="s">
        <v>75</v>
      </c>
      <c r="AT12" s="92" t="s">
        <v>75</v>
      </c>
      <c r="AU12" s="92" t="s">
        <v>75</v>
      </c>
      <c r="AV12" s="92" t="s">
        <v>75</v>
      </c>
      <c r="AW12" s="92" t="s">
        <v>75</v>
      </c>
      <c r="AX12" s="92" t="s">
        <v>75</v>
      </c>
      <c r="AY12" s="92" t="s">
        <v>75</v>
      </c>
      <c r="AZ12" s="92" t="s">
        <v>75</v>
      </c>
      <c r="BA12" s="92" t="s">
        <v>75</v>
      </c>
      <c r="BB12" s="92" t="s">
        <v>75</v>
      </c>
      <c r="BC12" s="92" t="s">
        <v>75</v>
      </c>
      <c r="BD12" s="92" t="s">
        <v>75</v>
      </c>
      <c r="BE12" s="92" t="s">
        <v>75</v>
      </c>
      <c r="BF12" s="92" t="s">
        <v>75</v>
      </c>
      <c r="BG12" s="92" t="s">
        <v>75</v>
      </c>
      <c r="BH12" s="92" t="s">
        <v>75</v>
      </c>
      <c r="BI12" s="92" t="s">
        <v>75</v>
      </c>
      <c r="BJ12" s="92" t="s">
        <v>75</v>
      </c>
      <c r="BK12" s="92" t="s">
        <v>75</v>
      </c>
      <c r="BL12" s="92" t="s">
        <v>75</v>
      </c>
      <c r="BM12" s="92" t="s">
        <v>75</v>
      </c>
      <c r="BN12" s="92" t="s">
        <v>75</v>
      </c>
      <c r="BO12" s="92" t="s">
        <v>75</v>
      </c>
      <c r="BP12" s="92" t="s">
        <v>75</v>
      </c>
      <c r="BQ12" s="92" t="s">
        <v>75</v>
      </c>
    </row>
    <row r="13" ht="15.75" customHeight="1">
      <c r="A13" s="93" t="s">
        <v>76</v>
      </c>
      <c r="B13" s="39" t="s">
        <v>15</v>
      </c>
      <c r="C13" s="38" t="s">
        <v>16</v>
      </c>
      <c r="D13" s="39" t="s">
        <v>17</v>
      </c>
      <c r="E13" s="40" t="s">
        <v>18</v>
      </c>
      <c r="F13" s="39" t="s">
        <v>19</v>
      </c>
      <c r="G13" s="39" t="s">
        <v>20</v>
      </c>
      <c r="H13" s="39" t="s">
        <v>21</v>
      </c>
      <c r="I13" s="39" t="s">
        <v>22</v>
      </c>
      <c r="J13" s="41" t="s">
        <v>23</v>
      </c>
      <c r="K13" s="41" t="s">
        <v>77</v>
      </c>
      <c r="L13" s="94" t="s">
        <v>78</v>
      </c>
      <c r="M13" s="95" t="s">
        <v>79</v>
      </c>
      <c r="N13" s="95" t="s">
        <v>80</v>
      </c>
      <c r="O13" s="95" t="s">
        <v>24</v>
      </c>
      <c r="P13" s="96" t="s">
        <v>31</v>
      </c>
      <c r="Q13" s="97">
        <v>45870.0</v>
      </c>
      <c r="R13" s="97">
        <v>45901.0</v>
      </c>
      <c r="S13" s="97">
        <v>45931.0</v>
      </c>
      <c r="T13" s="97">
        <v>45962.0</v>
      </c>
      <c r="U13" s="97">
        <v>45992.0</v>
      </c>
      <c r="V13" s="97">
        <v>46023.0</v>
      </c>
      <c r="W13" s="97">
        <v>46054.0</v>
      </c>
      <c r="X13" s="97">
        <v>46082.0</v>
      </c>
      <c r="Y13" s="97">
        <v>46113.0</v>
      </c>
      <c r="Z13" s="97">
        <v>46143.0</v>
      </c>
      <c r="AA13" s="97">
        <v>46174.0</v>
      </c>
      <c r="AB13" s="97">
        <v>46204.0</v>
      </c>
      <c r="AC13" s="97">
        <v>46235.0</v>
      </c>
      <c r="AD13" s="97">
        <v>46266.0</v>
      </c>
      <c r="AE13" s="98">
        <v>46296.0</v>
      </c>
      <c r="AF13" s="98">
        <v>46327.0</v>
      </c>
      <c r="AG13" s="98">
        <v>46357.0</v>
      </c>
      <c r="AH13" s="98">
        <v>46388.0</v>
      </c>
      <c r="AI13" s="98">
        <v>46419.0</v>
      </c>
      <c r="AJ13" s="98">
        <v>46447.0</v>
      </c>
      <c r="AK13" s="98">
        <v>46478.0</v>
      </c>
      <c r="AL13" s="98">
        <v>46508.0</v>
      </c>
      <c r="AM13" s="98">
        <v>46539.0</v>
      </c>
      <c r="AN13" s="98">
        <v>46569.0</v>
      </c>
      <c r="AO13" s="98">
        <v>46600.0</v>
      </c>
      <c r="AP13" s="98">
        <v>46631.0</v>
      </c>
      <c r="AQ13" s="98">
        <v>46661.0</v>
      </c>
      <c r="AR13" s="98">
        <v>46692.0</v>
      </c>
      <c r="AS13" s="98">
        <v>46722.0</v>
      </c>
      <c r="AT13" s="99">
        <v>46753.0</v>
      </c>
      <c r="AU13" s="99">
        <v>46784.0</v>
      </c>
      <c r="AV13" s="99">
        <v>46813.0</v>
      </c>
      <c r="AW13" s="99">
        <v>46844.0</v>
      </c>
      <c r="AX13" s="99">
        <v>46874.0</v>
      </c>
      <c r="AY13" s="99">
        <v>46905.0</v>
      </c>
      <c r="AZ13" s="99">
        <v>46935.0</v>
      </c>
      <c r="BA13" s="99">
        <v>46966.0</v>
      </c>
      <c r="BB13" s="99">
        <v>46997.0</v>
      </c>
      <c r="BC13" s="99">
        <v>47027.0</v>
      </c>
      <c r="BD13" s="99">
        <v>47058.0</v>
      </c>
      <c r="BE13" s="99">
        <v>47088.0</v>
      </c>
      <c r="BF13" s="100">
        <v>47119.0</v>
      </c>
      <c r="BG13" s="100">
        <v>47150.0</v>
      </c>
      <c r="BH13" s="100">
        <v>47178.0</v>
      </c>
      <c r="BI13" s="100">
        <v>47209.0</v>
      </c>
      <c r="BJ13" s="100">
        <v>47239.0</v>
      </c>
      <c r="BK13" s="100">
        <v>47270.0</v>
      </c>
      <c r="BL13" s="100">
        <v>47300.0</v>
      </c>
      <c r="BM13" s="100">
        <v>47331.0</v>
      </c>
      <c r="BN13" s="100">
        <v>47362.0</v>
      </c>
      <c r="BO13" s="100">
        <v>47392.0</v>
      </c>
      <c r="BP13" s="100">
        <v>47423.0</v>
      </c>
      <c r="BQ13" s="100">
        <v>47453.0</v>
      </c>
    </row>
    <row r="14" ht="15.75" customHeight="1">
      <c r="A14" s="48" t="s">
        <v>32</v>
      </c>
      <c r="B14" s="50" t="s">
        <v>51</v>
      </c>
      <c r="C14" s="50" t="s">
        <v>34</v>
      </c>
      <c r="D14" s="101" t="s">
        <v>35</v>
      </c>
      <c r="E14" s="101" t="s">
        <v>36</v>
      </c>
      <c r="F14" s="52" t="s">
        <v>37</v>
      </c>
      <c r="G14" s="53" t="s">
        <v>1</v>
      </c>
      <c r="H14" s="53" t="s">
        <v>1</v>
      </c>
      <c r="I14" s="50" t="s">
        <v>38</v>
      </c>
      <c r="J14" s="102" t="s">
        <v>81</v>
      </c>
      <c r="K14" s="103" t="s">
        <v>48</v>
      </c>
      <c r="L14" s="104" t="s">
        <v>82</v>
      </c>
      <c r="M14" s="60" t="s">
        <v>83</v>
      </c>
      <c r="N14" s="105" t="s">
        <v>84</v>
      </c>
      <c r="O14" s="106" t="s">
        <v>85</v>
      </c>
      <c r="P14" s="107">
        <f t="shared" ref="P14:P18" si="1">SUM(Q14:BQ14)</f>
        <v>7000</v>
      </c>
      <c r="Q14" s="108"/>
      <c r="R14" s="108"/>
      <c r="S14" s="109"/>
      <c r="T14" s="109"/>
      <c r="U14" s="108"/>
      <c r="V14" s="109">
        <v>2000.0</v>
      </c>
      <c r="W14" s="108"/>
      <c r="X14" s="108"/>
      <c r="Y14" s="109">
        <v>5000.0</v>
      </c>
      <c r="Z14" s="108"/>
      <c r="AA14" s="108"/>
      <c r="AB14" s="108"/>
      <c r="AC14" s="110"/>
      <c r="AD14" s="110"/>
      <c r="AE14" s="110"/>
      <c r="AF14" s="110"/>
      <c r="AG14" s="110"/>
      <c r="AH14" s="108"/>
      <c r="AI14" s="108"/>
      <c r="AJ14" s="108"/>
      <c r="AK14" s="111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</row>
    <row r="15" ht="15.75" customHeight="1">
      <c r="A15" s="48" t="s">
        <v>32</v>
      </c>
      <c r="B15" s="49" t="s">
        <v>53</v>
      </c>
      <c r="C15" s="50" t="s">
        <v>34</v>
      </c>
      <c r="D15" s="101" t="s">
        <v>35</v>
      </c>
      <c r="E15" s="101" t="s">
        <v>36</v>
      </c>
      <c r="F15" s="52" t="s">
        <v>37</v>
      </c>
      <c r="G15" s="53" t="s">
        <v>1</v>
      </c>
      <c r="H15" s="53" t="s">
        <v>1</v>
      </c>
      <c r="I15" s="50" t="s">
        <v>38</v>
      </c>
      <c r="J15" s="102" t="s">
        <v>86</v>
      </c>
      <c r="K15" s="103"/>
      <c r="L15" s="104" t="s">
        <v>87</v>
      </c>
      <c r="M15" s="60" t="s">
        <v>44</v>
      </c>
      <c r="N15" s="105" t="s">
        <v>88</v>
      </c>
      <c r="O15" s="113" t="s">
        <v>89</v>
      </c>
      <c r="P15" s="107">
        <f t="shared" si="1"/>
        <v>215000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9">
        <v>15000.0</v>
      </c>
      <c r="AA15" s="109">
        <v>200000.0</v>
      </c>
      <c r="AB15" s="108"/>
      <c r="AC15" s="110"/>
      <c r="AD15" s="110"/>
      <c r="AE15" s="110"/>
      <c r="AF15" s="110"/>
      <c r="AG15" s="110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</row>
    <row r="16" ht="15.75" customHeight="1">
      <c r="A16" s="48" t="s">
        <v>32</v>
      </c>
      <c r="B16" s="49" t="s">
        <v>55</v>
      </c>
      <c r="C16" s="50" t="s">
        <v>34</v>
      </c>
      <c r="D16" s="101" t="s">
        <v>35</v>
      </c>
      <c r="E16" s="101" t="s">
        <v>36</v>
      </c>
      <c r="F16" s="52" t="s">
        <v>37</v>
      </c>
      <c r="G16" s="53" t="s">
        <v>1</v>
      </c>
      <c r="H16" s="53" t="s">
        <v>1</v>
      </c>
      <c r="I16" s="50" t="s">
        <v>38</v>
      </c>
      <c r="J16" s="102" t="s">
        <v>86</v>
      </c>
      <c r="K16" s="103"/>
      <c r="L16" s="104" t="s">
        <v>90</v>
      </c>
      <c r="M16" s="60" t="s">
        <v>44</v>
      </c>
      <c r="N16" s="105" t="s">
        <v>88</v>
      </c>
      <c r="O16" s="113" t="s">
        <v>91</v>
      </c>
      <c r="P16" s="107">
        <f t="shared" si="1"/>
        <v>5150</v>
      </c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10"/>
      <c r="AD16" s="110"/>
      <c r="AE16" s="110"/>
      <c r="AF16" s="110"/>
      <c r="AG16" s="110"/>
      <c r="AH16" s="108"/>
      <c r="AI16" s="109">
        <v>5000.0</v>
      </c>
      <c r="AJ16" s="109">
        <v>150.0</v>
      </c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</row>
    <row r="17" ht="15.75" customHeight="1">
      <c r="A17" s="48" t="s">
        <v>32</v>
      </c>
      <c r="B17" s="49" t="s">
        <v>57</v>
      </c>
      <c r="C17" s="50" t="s">
        <v>34</v>
      </c>
      <c r="D17" s="101" t="s">
        <v>35</v>
      </c>
      <c r="E17" s="101" t="s">
        <v>36</v>
      </c>
      <c r="F17" s="52" t="s">
        <v>37</v>
      </c>
      <c r="G17" s="53" t="s">
        <v>1</v>
      </c>
      <c r="H17" s="53" t="s">
        <v>1</v>
      </c>
      <c r="I17" s="50" t="s">
        <v>38</v>
      </c>
      <c r="J17" s="102" t="s">
        <v>86</v>
      </c>
      <c r="K17" s="56" t="s">
        <v>63</v>
      </c>
      <c r="L17" s="104" t="s">
        <v>82</v>
      </c>
      <c r="M17" s="114" t="s">
        <v>83</v>
      </c>
      <c r="N17" s="105" t="s">
        <v>88</v>
      </c>
      <c r="O17" s="113" t="s">
        <v>92</v>
      </c>
      <c r="P17" s="107">
        <f t="shared" si="1"/>
        <v>300000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10"/>
      <c r="AD17" s="110"/>
      <c r="AE17" s="110"/>
      <c r="AF17" s="110"/>
      <c r="AG17" s="110"/>
      <c r="AH17" s="108"/>
      <c r="AI17" s="109">
        <v>300000.0</v>
      </c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</row>
    <row r="18" ht="15.75" customHeight="1">
      <c r="A18" s="115" t="s">
        <v>93</v>
      </c>
      <c r="B18" s="49" t="s">
        <v>69</v>
      </c>
      <c r="C18" s="50" t="s">
        <v>34</v>
      </c>
      <c r="D18" s="101" t="s">
        <v>35</v>
      </c>
      <c r="E18" s="101" t="s">
        <v>36</v>
      </c>
      <c r="F18" s="52" t="s">
        <v>37</v>
      </c>
      <c r="G18" s="53" t="s">
        <v>71</v>
      </c>
      <c r="H18" s="53" t="s">
        <v>71</v>
      </c>
      <c r="I18" s="49" t="s">
        <v>72</v>
      </c>
      <c r="J18" s="102" t="s">
        <v>94</v>
      </c>
      <c r="K18" s="103"/>
      <c r="L18" s="104" t="s">
        <v>95</v>
      </c>
      <c r="M18" s="60" t="s">
        <v>44</v>
      </c>
      <c r="N18" s="105" t="s">
        <v>88</v>
      </c>
      <c r="O18" s="116" t="s">
        <v>96</v>
      </c>
      <c r="P18" s="107">
        <f t="shared" si="1"/>
        <v>0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8"/>
      <c r="AD18" s="118"/>
      <c r="AE18" s="118"/>
      <c r="AF18" s="118"/>
      <c r="AG18" s="118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</row>
    <row r="19" ht="15.75" customHeight="1">
      <c r="O19" s="120"/>
      <c r="P19" s="121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3"/>
      <c r="AD19" s="123"/>
      <c r="AE19" s="123"/>
      <c r="AF19" s="123"/>
      <c r="AG19" s="123"/>
      <c r="AH19" s="122"/>
      <c r="AI19" s="122"/>
      <c r="AJ19" s="122"/>
      <c r="AK19" s="122"/>
      <c r="AL19" s="122"/>
      <c r="AM19" s="122"/>
      <c r="AN19" s="122"/>
      <c r="AO19" s="122"/>
      <c r="AP19" s="122"/>
      <c r="AQ19" s="124"/>
      <c r="AR19" s="124"/>
      <c r="AS19" s="124"/>
      <c r="AT19" s="124"/>
      <c r="AU19" s="124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</row>
    <row r="20" ht="15.75" customHeight="1">
      <c r="O20" s="126"/>
      <c r="P20" s="127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"/>
      <c r="AD20" s="1"/>
      <c r="AE20" s="1"/>
      <c r="AF20" s="1"/>
      <c r="AG20" s="1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ht="15.75" customHeight="1">
      <c r="O21" s="126"/>
      <c r="P21" s="127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"/>
      <c r="AD21" s="1"/>
      <c r="AE21" s="1"/>
      <c r="AF21" s="1"/>
      <c r="AG21" s="1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ht="15.75" customHeight="1">
      <c r="O22" s="126"/>
      <c r="P22" s="127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"/>
      <c r="AD22" s="1"/>
      <c r="AE22" s="1"/>
      <c r="AF22" s="1"/>
      <c r="AG22" s="1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ht="15.75" customHeight="1">
      <c r="O23" s="126"/>
      <c r="P23" s="127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"/>
      <c r="AD23" s="1"/>
      <c r="AE23" s="1"/>
      <c r="AF23" s="1"/>
      <c r="AG23" s="1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ht="15.75" customHeight="1">
      <c r="O24" s="126"/>
      <c r="P24" s="127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"/>
      <c r="AD24" s="1"/>
      <c r="AE24" s="1"/>
      <c r="AF24" s="1"/>
      <c r="AG24" s="1"/>
      <c r="AH24" s="128"/>
      <c r="AI24" s="128"/>
      <c r="AJ24" s="128"/>
      <c r="AK24" s="129"/>
      <c r="AL24" s="128"/>
      <c r="AM24" s="128"/>
      <c r="AN24" s="128"/>
      <c r="AO24" s="128"/>
      <c r="AP24" s="128"/>
      <c r="AQ24" s="128"/>
      <c r="AR24" s="128"/>
      <c r="AS24" s="129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ht="15.75" customHeight="1">
      <c r="O25" s="126"/>
      <c r="P25" s="127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"/>
      <c r="AD25" s="1"/>
      <c r="AE25" s="1"/>
      <c r="AF25" s="1"/>
      <c r="AG25" s="1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ht="15.75" customHeight="1">
      <c r="O26" s="126"/>
      <c r="P26" s="127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"/>
      <c r="AD26" s="1"/>
      <c r="AE26" s="1"/>
      <c r="AF26" s="1"/>
      <c r="AG26" s="1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ht="15.75" customHeight="1">
      <c r="O27" s="126"/>
      <c r="P27" s="127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"/>
      <c r="AD27" s="1"/>
      <c r="AE27" s="1"/>
      <c r="AF27" s="1"/>
      <c r="AG27" s="1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ht="15.75" customHeight="1">
      <c r="O28" s="126"/>
      <c r="P28" s="127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"/>
      <c r="AD28" s="1"/>
      <c r="AE28" s="1"/>
      <c r="AF28" s="1"/>
      <c r="AG28" s="1"/>
      <c r="AH28" s="128"/>
      <c r="AI28" s="128"/>
      <c r="AJ28" s="128"/>
      <c r="AK28" s="128"/>
      <c r="AL28" s="128"/>
      <c r="AM28" s="129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ht="15.75" customHeight="1">
      <c r="O29" s="126"/>
      <c r="P29" s="127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"/>
      <c r="AD29" s="1"/>
      <c r="AE29" s="1"/>
      <c r="AF29" s="1"/>
      <c r="AG29" s="1"/>
      <c r="AH29" s="128"/>
      <c r="AI29" s="128"/>
      <c r="AJ29" s="130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ht="15.75" customHeight="1">
      <c r="O30" s="131"/>
      <c r="P30" s="127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2"/>
      <c r="AD30" s="2"/>
      <c r="AE30" s="2"/>
      <c r="AF30" s="2"/>
      <c r="AG30" s="2"/>
      <c r="AH30" s="2"/>
      <c r="AI30" s="132"/>
      <c r="AJ30" s="2"/>
      <c r="AK30" s="132"/>
      <c r="AL30" s="132"/>
      <c r="AM30" s="2"/>
      <c r="AN30" s="2"/>
      <c r="AO30" s="2"/>
      <c r="AP30" s="132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32"/>
      <c r="BC30" s="128"/>
      <c r="BD30" s="128"/>
      <c r="BE30" s="128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ht="15.75" customHeight="1">
      <c r="O31" s="1"/>
      <c r="P31" s="1"/>
    </row>
    <row r="32" ht="15.75" customHeight="1">
      <c r="O32" s="1"/>
      <c r="P32" s="1"/>
    </row>
    <row r="33" ht="15.75" customHeight="1">
      <c r="O33" s="133"/>
      <c r="P33" s="1"/>
    </row>
    <row r="34" ht="15.75" customHeight="1">
      <c r="O34" s="133"/>
      <c r="P34" s="1"/>
    </row>
    <row r="35" ht="15.75" customHeight="1">
      <c r="O35" s="133"/>
      <c r="P35" s="1"/>
    </row>
    <row r="36" ht="15.75" customHeight="1">
      <c r="O36" s="80"/>
      <c r="P36" s="1"/>
    </row>
    <row r="37" ht="15.75" customHeight="1">
      <c r="O37" s="133"/>
      <c r="P37" s="1"/>
    </row>
    <row r="38" ht="15.75" customHeight="1">
      <c r="O38" s="1"/>
      <c r="P38" s="1"/>
    </row>
    <row r="39" ht="15.75" customHeight="1">
      <c r="O39" s="1"/>
      <c r="P39" s="1"/>
    </row>
    <row r="40" ht="15.75" customHeight="1">
      <c r="O40" s="133"/>
      <c r="P40" s="1"/>
    </row>
    <row r="41" ht="15.75" customHeight="1">
      <c r="O41" s="1"/>
      <c r="P41" s="1"/>
    </row>
    <row r="42" ht="15.75" customHeight="1">
      <c r="O42" s="1"/>
      <c r="P42" s="1"/>
    </row>
    <row r="43" ht="15.75" customHeight="1">
      <c r="O43" s="1"/>
      <c r="P43" s="1"/>
    </row>
    <row r="44" ht="15.75" customHeight="1">
      <c r="O44" s="1"/>
      <c r="P44" s="1"/>
    </row>
    <row r="45" ht="15.75" customHeight="1">
      <c r="O45" s="1"/>
      <c r="P45" s="1"/>
    </row>
    <row r="46" ht="15.75" customHeight="1">
      <c r="O46" s="133"/>
      <c r="P46" s="1"/>
    </row>
    <row r="47" ht="15.75" customHeight="1">
      <c r="O47" s="1"/>
      <c r="P47" s="1"/>
    </row>
    <row r="48" ht="15.75" customHeight="1">
      <c r="O48" s="133"/>
      <c r="P48" s="1"/>
    </row>
    <row r="49" ht="15.75" customHeight="1">
      <c r="O49" s="133"/>
      <c r="P49" s="1"/>
    </row>
    <row r="50" ht="15.75" customHeight="1">
      <c r="O50" s="1"/>
      <c r="P50" s="1"/>
    </row>
    <row r="51" ht="15.75" customHeight="1">
      <c r="O51" s="1"/>
      <c r="P51" s="1"/>
    </row>
    <row r="52" ht="15.75" customHeight="1">
      <c r="O52" s="1"/>
      <c r="P52" s="1"/>
    </row>
    <row r="53" ht="15.75" customHeight="1">
      <c r="O53" s="1"/>
      <c r="P53" s="1"/>
    </row>
    <row r="54" ht="15.75" customHeight="1">
      <c r="O54" s="1"/>
      <c r="P54" s="1"/>
    </row>
    <row r="55" ht="15.75" customHeight="1">
      <c r="O55" s="1"/>
      <c r="P55" s="1"/>
    </row>
    <row r="56" ht="15.75" customHeight="1">
      <c r="O56" s="1"/>
      <c r="P56" s="1"/>
    </row>
    <row r="57" ht="15.75" customHeight="1">
      <c r="O57" s="1"/>
      <c r="P57" s="1"/>
    </row>
    <row r="58" ht="15.75" customHeight="1">
      <c r="O58" s="1"/>
      <c r="P58" s="1"/>
    </row>
    <row r="59" ht="15.75" customHeight="1">
      <c r="O59" s="1"/>
      <c r="P59" s="1"/>
    </row>
    <row r="60" ht="15.75" customHeight="1">
      <c r="O60" s="1"/>
      <c r="P60" s="1"/>
    </row>
    <row r="61" ht="15.75" customHeight="1">
      <c r="O61" s="1"/>
      <c r="P61" s="1"/>
    </row>
    <row r="62" ht="15.75" customHeight="1">
      <c r="O62" s="1"/>
      <c r="P62" s="1"/>
    </row>
    <row r="63" ht="15.75" customHeight="1">
      <c r="O63" s="1"/>
      <c r="P63" s="1"/>
    </row>
    <row r="64" ht="15.75" customHeight="1">
      <c r="O64" s="1"/>
      <c r="P64" s="1"/>
    </row>
    <row r="65" ht="15.75" customHeight="1">
      <c r="O65" s="1"/>
      <c r="P65" s="1"/>
    </row>
    <row r="66" ht="15.75" customHeight="1">
      <c r="O66" s="1"/>
      <c r="P66" s="1"/>
    </row>
    <row r="67" ht="15.75" customHeight="1">
      <c r="O67" s="1"/>
      <c r="P67" s="1"/>
    </row>
    <row r="68" ht="15.75" customHeight="1">
      <c r="O68" s="1"/>
      <c r="P68" s="1"/>
    </row>
    <row r="69" ht="15.75" customHeight="1">
      <c r="O69" s="1"/>
      <c r="P69" s="1"/>
    </row>
    <row r="70" ht="15.75" customHeight="1">
      <c r="O70" s="1"/>
      <c r="P70" s="1"/>
    </row>
    <row r="71" ht="15.75" customHeight="1">
      <c r="O71" s="1"/>
      <c r="P71" s="1"/>
    </row>
    <row r="72" ht="15.75" customHeight="1">
      <c r="O72" s="1"/>
      <c r="P72" s="1"/>
    </row>
    <row r="73" ht="15.75" customHeight="1">
      <c r="O73" s="1"/>
      <c r="P73" s="1"/>
    </row>
    <row r="74" ht="15.75" customHeight="1">
      <c r="O74" s="1"/>
      <c r="P74" s="1"/>
    </row>
    <row r="75" ht="15.75" customHeight="1">
      <c r="O75" s="1"/>
      <c r="P75" s="1"/>
    </row>
    <row r="76" ht="15.75" customHeight="1">
      <c r="O76" s="1"/>
      <c r="P76" s="1"/>
    </row>
    <row r="77" ht="15.75" customHeight="1">
      <c r="O77" s="1"/>
      <c r="P77" s="1"/>
    </row>
    <row r="78" ht="15.75" customHeight="1">
      <c r="O78" s="1"/>
      <c r="P78" s="1"/>
    </row>
    <row r="79" ht="15.75" customHeight="1">
      <c r="O79" s="1"/>
      <c r="P79" s="1"/>
    </row>
    <row r="80" ht="15.75" customHeight="1">
      <c r="O80" s="1"/>
      <c r="P80" s="1"/>
    </row>
    <row r="81" ht="15.75" customHeight="1">
      <c r="O81" s="1"/>
      <c r="P81" s="1"/>
    </row>
    <row r="82" ht="15.75" customHeight="1">
      <c r="O82" s="1"/>
      <c r="P82" s="1"/>
    </row>
    <row r="83" ht="15.75" customHeight="1">
      <c r="O83" s="1"/>
      <c r="P83" s="1"/>
    </row>
    <row r="84" ht="15.75" customHeight="1">
      <c r="O84" s="1"/>
      <c r="P84" s="1"/>
    </row>
    <row r="85" ht="15.75" customHeight="1">
      <c r="O85" s="1"/>
      <c r="P85" s="1"/>
    </row>
    <row r="86" ht="15.75" customHeight="1">
      <c r="O86" s="1"/>
      <c r="P86" s="1"/>
    </row>
    <row r="87" ht="15.75" customHeight="1">
      <c r="O87" s="1"/>
      <c r="P87" s="1"/>
    </row>
    <row r="88" ht="15.75" customHeight="1">
      <c r="O88" s="1"/>
      <c r="P88" s="1"/>
    </row>
    <row r="89" ht="15.75" customHeight="1">
      <c r="O89" s="1"/>
      <c r="P89" s="1"/>
    </row>
    <row r="90" ht="15.75" customHeight="1">
      <c r="O90" s="1"/>
      <c r="P90" s="1"/>
    </row>
    <row r="91" ht="15.75" customHeight="1">
      <c r="O91" s="1"/>
      <c r="P91" s="1"/>
    </row>
    <row r="92" ht="15.75" customHeight="1">
      <c r="O92" s="1"/>
      <c r="P92" s="1"/>
    </row>
    <row r="93" ht="15.75" customHeight="1">
      <c r="O93" s="1"/>
      <c r="P93" s="1"/>
    </row>
    <row r="94" ht="15.75" customHeight="1">
      <c r="O94" s="1"/>
      <c r="P94" s="1"/>
    </row>
    <row r="95" ht="15.75" customHeight="1">
      <c r="O95" s="1"/>
      <c r="P95" s="1"/>
    </row>
    <row r="96" ht="15.75" customHeight="1">
      <c r="O96" s="1"/>
      <c r="P96" s="1"/>
    </row>
    <row r="97" ht="15.75" customHeight="1">
      <c r="O97" s="1"/>
      <c r="P97" s="1"/>
    </row>
    <row r="98" ht="15.75" customHeight="1">
      <c r="O98" s="1"/>
      <c r="P98" s="1"/>
    </row>
    <row r="99" ht="15.75" customHeight="1">
      <c r="O99" s="1"/>
      <c r="P99" s="1"/>
    </row>
    <row r="100" ht="15.75" customHeight="1">
      <c r="O100" s="1"/>
      <c r="P100" s="1"/>
    </row>
    <row r="101" ht="15.75" customHeight="1">
      <c r="O101" s="1"/>
      <c r="P101" s="1"/>
    </row>
    <row r="102" ht="15.75" customHeight="1">
      <c r="O102" s="1"/>
      <c r="P102" s="1"/>
    </row>
    <row r="103" ht="15.75" customHeight="1">
      <c r="O103" s="1"/>
      <c r="P103" s="1"/>
    </row>
    <row r="104" ht="15.75" customHeight="1">
      <c r="O104" s="1"/>
      <c r="P104" s="1"/>
    </row>
    <row r="105" ht="15.75" customHeight="1">
      <c r="O105" s="1"/>
      <c r="P105" s="1"/>
    </row>
    <row r="106" ht="15.75" customHeight="1">
      <c r="O106" s="1"/>
      <c r="P106" s="1"/>
    </row>
    <row r="107" ht="15.75" customHeight="1">
      <c r="O107" s="1"/>
      <c r="P107" s="1"/>
    </row>
    <row r="108" ht="15.75" customHeight="1">
      <c r="O108" s="1"/>
      <c r="P108" s="1"/>
    </row>
    <row r="109" ht="15.75" customHeight="1">
      <c r="O109" s="1"/>
      <c r="P109" s="1"/>
    </row>
    <row r="110" ht="15.75" customHeight="1">
      <c r="O110" s="1"/>
      <c r="P110" s="1"/>
    </row>
    <row r="111" ht="15.75" customHeight="1">
      <c r="O111" s="1"/>
      <c r="P111" s="1"/>
    </row>
    <row r="112" ht="15.75" customHeight="1">
      <c r="O112" s="1"/>
      <c r="P112" s="1"/>
    </row>
    <row r="113" ht="15.75" customHeight="1">
      <c r="O113" s="1"/>
      <c r="P113" s="1"/>
    </row>
    <row r="114" ht="15.75" customHeight="1">
      <c r="O114" s="1"/>
      <c r="P114" s="1"/>
    </row>
    <row r="115" ht="15.75" customHeight="1">
      <c r="O115" s="1"/>
      <c r="P115" s="1"/>
    </row>
    <row r="116" ht="15.75" customHeight="1">
      <c r="O116" s="1"/>
      <c r="P116" s="1"/>
    </row>
    <row r="117" ht="15.75" customHeight="1">
      <c r="O117" s="1"/>
      <c r="P117" s="1"/>
    </row>
    <row r="118" ht="15.75" customHeight="1">
      <c r="O118" s="1"/>
      <c r="P118" s="1"/>
    </row>
    <row r="119" ht="15.75" customHeight="1">
      <c r="O119" s="1"/>
      <c r="P119" s="1"/>
    </row>
    <row r="120" ht="15.75" customHeight="1">
      <c r="O120" s="1"/>
      <c r="P120" s="1"/>
    </row>
    <row r="121" ht="15.75" customHeight="1">
      <c r="O121" s="1"/>
      <c r="P121" s="1"/>
    </row>
    <row r="122" ht="15.75" customHeight="1">
      <c r="O122" s="1"/>
      <c r="P122" s="1"/>
    </row>
    <row r="123" ht="15.75" customHeight="1">
      <c r="O123" s="1"/>
      <c r="P123" s="1"/>
    </row>
    <row r="124" ht="15.75" customHeight="1">
      <c r="O124" s="1"/>
      <c r="P124" s="1"/>
    </row>
    <row r="125" ht="15.75" customHeight="1">
      <c r="O125" s="1"/>
      <c r="P125" s="1"/>
    </row>
    <row r="126" ht="15.75" customHeight="1">
      <c r="O126" s="1"/>
      <c r="P126" s="1"/>
    </row>
    <row r="127" ht="15.75" customHeight="1">
      <c r="O127" s="1"/>
      <c r="P127" s="1"/>
    </row>
    <row r="128" ht="15.75" customHeight="1">
      <c r="O128" s="1"/>
      <c r="P128" s="1"/>
    </row>
    <row r="129" ht="15.75" customHeight="1">
      <c r="O129" s="1"/>
      <c r="P129" s="1"/>
    </row>
    <row r="130" ht="15.75" customHeight="1">
      <c r="O130" s="1"/>
      <c r="P130" s="1"/>
    </row>
    <row r="131" ht="15.75" customHeight="1">
      <c r="O131" s="1"/>
      <c r="P131" s="1"/>
    </row>
    <row r="132" ht="15.75" customHeight="1">
      <c r="O132" s="1"/>
      <c r="P132" s="1"/>
    </row>
    <row r="133" ht="15.75" customHeight="1">
      <c r="O133" s="1"/>
      <c r="P133" s="1"/>
    </row>
    <row r="134" ht="15.75" customHeight="1">
      <c r="O134" s="1"/>
      <c r="P134" s="1"/>
    </row>
    <row r="135" ht="15.75" customHeight="1">
      <c r="O135" s="1"/>
      <c r="P135" s="1"/>
    </row>
    <row r="136" ht="15.75" customHeight="1">
      <c r="O136" s="1"/>
      <c r="P136" s="1"/>
    </row>
    <row r="137" ht="15.75" customHeight="1">
      <c r="O137" s="1"/>
      <c r="P137" s="1"/>
    </row>
    <row r="138" ht="15.75" customHeight="1">
      <c r="O138" s="1"/>
      <c r="P138" s="1"/>
    </row>
    <row r="139" ht="15.75" customHeight="1">
      <c r="O139" s="1"/>
      <c r="P139" s="1"/>
    </row>
    <row r="140" ht="15.75" customHeight="1">
      <c r="O140" s="1"/>
      <c r="P140" s="1"/>
    </row>
    <row r="141" ht="15.75" customHeight="1">
      <c r="O141" s="1"/>
      <c r="P141" s="1"/>
    </row>
    <row r="142" ht="15.75" customHeight="1">
      <c r="O142" s="1"/>
      <c r="P142" s="1"/>
    </row>
    <row r="143" ht="15.75" customHeight="1">
      <c r="O143" s="1"/>
      <c r="P143" s="1"/>
    </row>
    <row r="144" ht="15.75" customHeight="1">
      <c r="O144" s="1"/>
      <c r="P144" s="1"/>
    </row>
    <row r="145" ht="15.75" customHeight="1">
      <c r="O145" s="1"/>
      <c r="P145" s="1"/>
    </row>
    <row r="146" ht="15.75" customHeight="1">
      <c r="O146" s="1"/>
      <c r="P146" s="1"/>
    </row>
    <row r="147" ht="15.75" customHeight="1">
      <c r="O147" s="1"/>
      <c r="P147" s="1"/>
    </row>
    <row r="148" ht="15.75" customHeight="1">
      <c r="O148" s="1"/>
      <c r="P148" s="1"/>
    </row>
    <row r="149" ht="15.75" customHeight="1">
      <c r="O149" s="1"/>
      <c r="P149" s="1"/>
    </row>
    <row r="150" ht="15.75" customHeight="1">
      <c r="O150" s="1"/>
      <c r="P150" s="1"/>
    </row>
    <row r="151" ht="15.75" customHeight="1">
      <c r="O151" s="1"/>
      <c r="P151" s="1"/>
    </row>
    <row r="152" ht="15.75" customHeight="1">
      <c r="O152" s="1"/>
      <c r="P152" s="1"/>
    </row>
    <row r="153" ht="15.75" customHeight="1">
      <c r="O153" s="1"/>
      <c r="P153" s="1"/>
    </row>
    <row r="154" ht="15.75" customHeight="1">
      <c r="O154" s="1"/>
      <c r="P154" s="1"/>
    </row>
    <row r="155" ht="15.75" customHeight="1">
      <c r="O155" s="1"/>
      <c r="P155" s="1"/>
    </row>
    <row r="156" ht="15.75" customHeight="1">
      <c r="O156" s="1"/>
      <c r="P156" s="1"/>
    </row>
    <row r="157" ht="15.75" customHeight="1">
      <c r="O157" s="1"/>
      <c r="P157" s="1"/>
    </row>
    <row r="158" ht="15.75" customHeight="1">
      <c r="O158" s="1"/>
      <c r="P158" s="1"/>
    </row>
    <row r="159" ht="15.75" customHeight="1">
      <c r="O159" s="1"/>
      <c r="P159" s="1"/>
    </row>
    <row r="160" ht="15.75" customHeight="1">
      <c r="O160" s="1"/>
      <c r="P160" s="1"/>
    </row>
    <row r="161" ht="15.75" customHeight="1">
      <c r="O161" s="1"/>
      <c r="P161" s="1"/>
    </row>
    <row r="162" ht="15.75" customHeight="1">
      <c r="O162" s="1"/>
      <c r="P162" s="1"/>
    </row>
    <row r="163" ht="15.75" customHeight="1">
      <c r="O163" s="1"/>
      <c r="P163" s="1"/>
    </row>
    <row r="164" ht="15.75" customHeight="1">
      <c r="O164" s="1"/>
      <c r="P164" s="1"/>
    </row>
    <row r="165" ht="15.75" customHeight="1">
      <c r="O165" s="1"/>
      <c r="P165" s="1"/>
    </row>
    <row r="166" ht="15.75" customHeight="1">
      <c r="O166" s="1"/>
      <c r="P166" s="1"/>
    </row>
    <row r="167" ht="15.75" customHeight="1">
      <c r="O167" s="1"/>
      <c r="P167" s="1"/>
    </row>
    <row r="168" ht="15.75" customHeight="1">
      <c r="O168" s="1"/>
      <c r="P168" s="1"/>
    </row>
    <row r="169" ht="15.75" customHeight="1">
      <c r="O169" s="1"/>
      <c r="P169" s="1"/>
    </row>
    <row r="170" ht="15.75" customHeight="1">
      <c r="O170" s="1"/>
      <c r="P170" s="1"/>
    </row>
    <row r="171" ht="15.75" customHeight="1">
      <c r="O171" s="1"/>
      <c r="P171" s="1"/>
    </row>
    <row r="172" ht="15.75" customHeight="1">
      <c r="O172" s="1"/>
      <c r="P172" s="1"/>
    </row>
    <row r="173" ht="15.75" customHeight="1">
      <c r="O173" s="1"/>
      <c r="P173" s="1"/>
    </row>
    <row r="174" ht="15.75" customHeight="1">
      <c r="O174" s="1"/>
      <c r="P174" s="1"/>
    </row>
    <row r="175" ht="15.75" customHeight="1">
      <c r="O175" s="1"/>
      <c r="P175" s="1"/>
    </row>
    <row r="176" ht="15.75" customHeight="1">
      <c r="O176" s="1"/>
      <c r="P176" s="1"/>
    </row>
    <row r="177" ht="15.75" customHeight="1">
      <c r="O177" s="1"/>
      <c r="P177" s="1"/>
    </row>
    <row r="178" ht="15.75" customHeight="1">
      <c r="O178" s="1"/>
      <c r="P178" s="1"/>
    </row>
    <row r="179" ht="15.75" customHeight="1">
      <c r="O179" s="1"/>
      <c r="P179" s="1"/>
    </row>
    <row r="180" ht="15.75" customHeight="1">
      <c r="O180" s="1"/>
      <c r="P180" s="1"/>
    </row>
    <row r="181" ht="15.75" customHeight="1">
      <c r="O181" s="1"/>
      <c r="P181" s="1"/>
    </row>
    <row r="182" ht="15.75" customHeight="1">
      <c r="O182" s="1"/>
      <c r="P182" s="1"/>
    </row>
    <row r="183" ht="15.75" customHeight="1">
      <c r="O183" s="1"/>
      <c r="P183" s="1"/>
    </row>
    <row r="184" ht="15.75" customHeight="1">
      <c r="O184" s="1"/>
      <c r="P184" s="1"/>
    </row>
    <row r="185" ht="15.75" customHeight="1">
      <c r="O185" s="1"/>
      <c r="P185" s="1"/>
    </row>
    <row r="186" ht="15.75" customHeight="1">
      <c r="O186" s="1"/>
      <c r="P186" s="1"/>
    </row>
    <row r="187" ht="15.75" customHeight="1">
      <c r="O187" s="1"/>
      <c r="P187" s="1"/>
    </row>
    <row r="188" ht="15.75" customHeight="1">
      <c r="O188" s="1"/>
      <c r="P188" s="1"/>
    </row>
    <row r="189" ht="15.75" customHeight="1">
      <c r="O189" s="1"/>
      <c r="P189" s="1"/>
    </row>
    <row r="190" ht="15.75" customHeight="1">
      <c r="O190" s="1"/>
      <c r="P190" s="1"/>
    </row>
    <row r="191" ht="15.75" customHeight="1">
      <c r="O191" s="1"/>
      <c r="P191" s="1"/>
    </row>
    <row r="192" ht="15.75" customHeight="1">
      <c r="O192" s="1"/>
      <c r="P192" s="1"/>
    </row>
    <row r="193" ht="15.75" customHeight="1">
      <c r="O193" s="1"/>
      <c r="P193" s="1"/>
    </row>
    <row r="194" ht="15.75" customHeight="1">
      <c r="O194" s="1"/>
      <c r="P194" s="1"/>
    </row>
    <row r="195" ht="15.75" customHeight="1">
      <c r="O195" s="1"/>
      <c r="P195" s="1"/>
    </row>
    <row r="196" ht="15.75" customHeight="1">
      <c r="O196" s="1"/>
      <c r="P196" s="1"/>
    </row>
    <row r="197" ht="15.75" customHeight="1">
      <c r="O197" s="1"/>
      <c r="P197" s="1"/>
    </row>
    <row r="198" ht="15.75" customHeight="1">
      <c r="O198" s="1"/>
      <c r="P198" s="1"/>
    </row>
    <row r="199" ht="15.75" customHeight="1">
      <c r="O199" s="1"/>
      <c r="P199" s="1"/>
    </row>
    <row r="200" ht="15.75" customHeight="1">
      <c r="O200" s="1"/>
      <c r="P200" s="1"/>
    </row>
    <row r="201" ht="15.75" customHeight="1">
      <c r="O201" s="1"/>
      <c r="P201" s="1"/>
    </row>
    <row r="202" ht="15.75" customHeight="1">
      <c r="O202" s="1"/>
      <c r="P202" s="1"/>
    </row>
    <row r="203" ht="15.75" customHeight="1">
      <c r="O203" s="1"/>
      <c r="P203" s="1"/>
    </row>
    <row r="204" ht="15.75" customHeight="1">
      <c r="O204" s="1"/>
      <c r="P204" s="1"/>
    </row>
    <row r="205" ht="15.75" customHeight="1">
      <c r="O205" s="1"/>
      <c r="P205" s="1"/>
    </row>
    <row r="206" ht="15.75" customHeight="1">
      <c r="O206" s="1"/>
      <c r="P206" s="1"/>
    </row>
    <row r="207" ht="15.75" customHeight="1">
      <c r="O207" s="1"/>
      <c r="P207" s="1"/>
    </row>
    <row r="208" ht="15.75" customHeight="1">
      <c r="O208" s="1"/>
      <c r="P208" s="1"/>
    </row>
    <row r="209" ht="15.75" customHeight="1">
      <c r="O209" s="1"/>
      <c r="P209" s="1"/>
    </row>
    <row r="210" ht="15.75" customHeight="1">
      <c r="O210" s="1"/>
      <c r="P210" s="1"/>
    </row>
    <row r="211" ht="15.75" customHeight="1">
      <c r="O211" s="1"/>
      <c r="P211" s="1"/>
    </row>
    <row r="212" ht="15.75" customHeight="1">
      <c r="O212" s="1"/>
      <c r="P212" s="1"/>
    </row>
    <row r="213" ht="15.75" customHeight="1">
      <c r="O213" s="1"/>
      <c r="P213" s="1"/>
    </row>
    <row r="214" ht="15.75" customHeight="1">
      <c r="O214" s="1"/>
      <c r="P214" s="1"/>
    </row>
    <row r="215" ht="15.75" customHeight="1">
      <c r="O215" s="1"/>
      <c r="P215" s="1"/>
    </row>
    <row r="216" ht="15.75" customHeight="1">
      <c r="O216" s="1"/>
      <c r="P216" s="1"/>
    </row>
    <row r="217" ht="15.75" customHeight="1">
      <c r="O217" s="1"/>
      <c r="P217" s="1"/>
    </row>
    <row r="218" ht="15.75" customHeight="1">
      <c r="O218" s="1"/>
      <c r="P218" s="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J2:M2"/>
    <mergeCell ref="M12:N12"/>
  </mergeCells>
  <dataValidations>
    <dataValidation type="list" allowBlank="1" showErrorMessage="1" sqref="C14:C18">
      <formula1>"1 Base"</formula1>
    </dataValidation>
    <dataValidation type="list" allowBlank="1" showErrorMessage="1" sqref="F14:F18">
      <formula1>"SysVal"</formula1>
    </dataValidation>
    <dataValidation type="list" allowBlank="1" showErrorMessage="1" sqref="B14:B18">
      <formula1>"SiL,KPI,HIL,System Test,System Integration Test,Simulation,Vehicle tooling,Trace checker,Pipeline,Operations,RCC,PIL,Other"</formula1>
    </dataValidation>
    <dataValidation type="list" allowBlank="1" showErrorMessage="1" sqref="G14:H18">
      <formula1>"P1 GM,P1 MBAG,P2 BMW"</formula1>
    </dataValidation>
    <dataValidation type="list" allowBlank="1" sqref="M14:M18">
      <formula1>"yes,no"</formula1>
    </dataValidation>
    <dataValidation type="list" allowBlank="1" showErrorMessage="1" sqref="O12 J14:K18 N14:N18">
      <formula1>#REF!</formula1>
    </dataValidation>
    <dataValidation type="list" allowBlank="1" showErrorMessage="1" sqref="I14:I18">
      <formula1>"P1,P2"</formula1>
    </dataValidation>
    <dataValidation type="list" allowBlank="1" showErrorMessage="1" sqref="L14:L18">
      <formula1>"Lincese,Workstation,Hardware,Contracted Workpackage,Travel"</formula1>
    </dataValidation>
  </dataValidations>
  <drawing r:id="rId2"/>
  <legacyDrawing r:id="rId3"/>
</worksheet>
</file>